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tabRatio="813"/>
  </bookViews>
  <sheets>
    <sheet name="土" sheetId="18" r:id="rId1"/>
    <sheet name="膨胀土" sheetId="6" state="hidden" r:id="rId2"/>
    <sheet name="Sheet5" sheetId="7" state="hidden" r:id="rId3"/>
    <sheet name="Sheet6" sheetId="8" state="hidden" r:id="rId4"/>
    <sheet name="Sheet2" sheetId="9" state="hidden" r:id="rId5"/>
    <sheet name="Sheet3" sheetId="10" state="hidden" r:id="rId6"/>
    <sheet name="黄土湿陷性判定" sheetId="11" state="hidden" r:id="rId7"/>
    <sheet name="Sheet1" sheetId="12" state="hidden" r:id="rId8"/>
  </sheets>
  <externalReferences>
    <externalReference r:id="rId9"/>
  </externalReferences>
  <definedNames>
    <definedName name="场地评价">[1]标准!$D$3</definedName>
    <definedName name="湿陷等级">[1]标准!$D$1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<sst xmlns="http://schemas.openxmlformats.org/spreadsheetml/2006/main" count="945" uniqueCount="536">
  <si>
    <t>物理力学指标统计表</t>
  </si>
  <si>
    <t>岩
土
编
号</t>
  </si>
  <si>
    <t>野外描述</t>
  </si>
  <si>
    <t>岩
土
名
称</t>
  </si>
  <si>
    <t>统
计
项
目</t>
  </si>
  <si>
    <t>试
样
深
度
(m)</t>
  </si>
  <si>
    <t>天然
含水
量
ω
(%)</t>
  </si>
  <si>
    <r>
      <rPr>
        <sz val="10"/>
        <color theme="1"/>
        <rFont val="宋体"/>
        <charset val="134"/>
      </rPr>
      <t>重力
密度
γ
(kN/m</t>
    </r>
    <r>
      <rPr>
        <vertAlign val="superscript"/>
        <sz val="10"/>
        <color theme="1"/>
        <rFont val="宋体"/>
        <charset val="134"/>
      </rPr>
      <t>3</t>
    </r>
    <r>
      <rPr>
        <sz val="10"/>
        <color theme="1"/>
        <rFont val="宋体"/>
        <charset val="134"/>
      </rPr>
      <t>)</t>
    </r>
  </si>
  <si>
    <t>土
粒
比
重
Gs</t>
  </si>
  <si>
    <t>天然
孔隙
比
e</t>
  </si>
  <si>
    <r>
      <rPr>
        <sz val="10"/>
        <color theme="1"/>
        <rFont val="宋体"/>
        <charset val="134"/>
      </rPr>
      <t>液限
ω</t>
    </r>
    <r>
      <rPr>
        <vertAlign val="subscript"/>
        <sz val="10"/>
        <color theme="1"/>
        <rFont val="宋体"/>
        <charset val="134"/>
      </rPr>
      <t>L</t>
    </r>
    <r>
      <rPr>
        <sz val="10"/>
        <color theme="1"/>
        <rFont val="宋体"/>
        <charset val="134"/>
      </rPr>
      <t xml:space="preserve">
(%)</t>
    </r>
  </si>
  <si>
    <t>塑
限
ωp
(%)</t>
  </si>
  <si>
    <r>
      <rPr>
        <sz val="10"/>
        <color theme="1"/>
        <rFont val="宋体"/>
        <charset val="134"/>
      </rPr>
      <t>塑性
指数
I</t>
    </r>
    <r>
      <rPr>
        <vertAlign val="subscript"/>
        <sz val="10"/>
        <color theme="1"/>
        <rFont val="宋体"/>
        <charset val="134"/>
      </rPr>
      <t>P</t>
    </r>
  </si>
  <si>
    <t>液
性
指
数
IL</t>
  </si>
  <si>
    <t>压缩系数</t>
  </si>
  <si>
    <t>压缩模量</t>
  </si>
  <si>
    <t>直剪</t>
  </si>
  <si>
    <t>标
贯
击数
N
(击/30cm)</t>
  </si>
  <si>
    <t>标贯
修正
击数
N
(击/30cm)</t>
  </si>
  <si>
    <t>成
因
年
代</t>
  </si>
  <si>
    <t xml:space="preserve">α
0.1-0.2
(1/MPa)
</t>
  </si>
  <si>
    <t>Es
0.1-0.2
(MPa)</t>
  </si>
  <si>
    <t>内摩
擦角
φq
(度)
(快剪)</t>
  </si>
  <si>
    <t>粘聚
力
Cq
(kPa)
(快剪)</t>
  </si>
  <si>
    <t>统计个数</t>
  </si>
  <si>
    <t>最大值</t>
  </si>
  <si>
    <t>最小值</t>
  </si>
  <si>
    <t>平均值</t>
  </si>
  <si>
    <t>标准差</t>
  </si>
  <si>
    <t>变异系数</t>
  </si>
  <si>
    <t>修正系数</t>
  </si>
  <si>
    <t>标准值</t>
  </si>
  <si>
    <t>中大平均值</t>
  </si>
  <si>
    <t>中小平均值</t>
  </si>
  <si>
    <t>26-ZD-GZXT-0-8-8940</t>
  </si>
  <si>
    <t>15.10-15.30</t>
  </si>
  <si>
    <t>26-ZD-GZXT-0-8-8941</t>
  </si>
  <si>
    <t>17.10-17.30</t>
  </si>
  <si>
    <t>26-ZD-GZXT-1-1-7480</t>
  </si>
  <si>
    <t>9.60-9.80</t>
  </si>
  <si>
    <t>26-ZD-GZXT-1-1-7481</t>
  </si>
  <si>
    <t>12.10-12.30</t>
  </si>
  <si>
    <t>*30.1</t>
  </si>
  <si>
    <t>*0.802</t>
  </si>
  <si>
    <t>*0.63</t>
  </si>
  <si>
    <t>*0.410</t>
  </si>
  <si>
    <t>*4.40</t>
  </si>
  <si>
    <t>26-ZD-GZXT-1-6-7485</t>
  </si>
  <si>
    <t>9.80-10.00</t>
  </si>
  <si>
    <t>26-ZD-GZXT-1-6-7486</t>
  </si>
  <si>
    <t>12.20-12.40</t>
  </si>
  <si>
    <t>26-ZD-GZXT-13-1-15080</t>
  </si>
  <si>
    <t>5.70-5.90</t>
  </si>
  <si>
    <t>*36.9</t>
  </si>
  <si>
    <t>*18.0</t>
  </si>
  <si>
    <t>*1.031</t>
  </si>
  <si>
    <t>*0.66</t>
  </si>
  <si>
    <t>*0.470</t>
  </si>
  <si>
    <t>*4.32</t>
  </si>
  <si>
    <t>26-ZD-GZXT-13-10-15063</t>
  </si>
  <si>
    <t>26-ZD-GZXT-14-5-8916</t>
  </si>
  <si>
    <t>5.40-5.60</t>
  </si>
  <si>
    <t>*26.2</t>
  </si>
  <si>
    <t>*0.739</t>
  </si>
  <si>
    <t>*0.40</t>
  </si>
  <si>
    <t>*0.260</t>
  </si>
  <si>
    <t>*6.69</t>
  </si>
  <si>
    <t>26-ZD-GZXT-14-5-8917</t>
  </si>
  <si>
    <t>8.00-8.20</t>
  </si>
  <si>
    <t>26-ZD-GZXT-14-10-13249</t>
  </si>
  <si>
    <t>2.00-2.20</t>
  </si>
  <si>
    <t>26-ZD-GZXT-14-10-13251</t>
  </si>
  <si>
    <t>7.20-7.40</t>
  </si>
  <si>
    <t>26-ZD-GZXT-14-15-8920</t>
  </si>
  <si>
    <t>4.40-4.60</t>
  </si>
  <si>
    <t>26-ZD-GZXT-14-15-8921</t>
  </si>
  <si>
    <t>26-ZD-GZXT-21-9-15204</t>
  </si>
  <si>
    <t>1.70-1.90</t>
  </si>
  <si>
    <t>26-ZD-GZXT-21-9-15206</t>
  </si>
  <si>
    <t>6.10-6.30</t>
  </si>
  <si>
    <t>*15.6</t>
  </si>
  <si>
    <t>*21.5</t>
  </si>
  <si>
    <t>*2.65</t>
  </si>
  <si>
    <t>*0.425</t>
  </si>
  <si>
    <t>*31.2</t>
  </si>
  <si>
    <t>*12.1</t>
  </si>
  <si>
    <t>*-0.29</t>
  </si>
  <si>
    <t>*0.140</t>
  </si>
  <si>
    <t>*10.18</t>
  </si>
  <si>
    <t>26-ZD-GZXT-21-9-15207</t>
  </si>
  <si>
    <t>9.10-9.30</t>
  </si>
  <si>
    <t>*39.9</t>
  </si>
  <si>
    <t>*17.7</t>
  </si>
  <si>
    <t>*2.68</t>
  </si>
  <si>
    <t>*1.118</t>
  </si>
  <si>
    <t>*45.5</t>
  </si>
  <si>
    <t>*25.4</t>
  </si>
  <si>
    <t>*20.1</t>
  </si>
  <si>
    <t>*0.72</t>
  </si>
  <si>
    <t>*0.570</t>
  </si>
  <si>
    <t>*3.72</t>
  </si>
  <si>
    <t>26-ZD-GZXT-21-9-15208</t>
  </si>
  <si>
    <t>26-ZD-GZXT-21-9-15209</t>
  </si>
  <si>
    <t>*18.6</t>
  </si>
  <si>
    <t>26-ZD-GZXT-3-1-4</t>
  </si>
  <si>
    <t>13.40-13.60</t>
  </si>
  <si>
    <t>26-ZD-GZXT-3-1-5</t>
  </si>
  <si>
    <t>26-ZD-GZXT-36-1-7095</t>
  </si>
  <si>
    <t>26-ZD-GZXT-36-1-7096</t>
  </si>
  <si>
    <t>4.00-4.20</t>
  </si>
  <si>
    <t>26-ZD-GZXT-36-6-8732</t>
  </si>
  <si>
    <t>2.10-2.30</t>
  </si>
  <si>
    <t>26-ZD-GZXT-36-10-7099</t>
  </si>
  <si>
    <t>*35.6</t>
  </si>
  <si>
    <t>*0.964</t>
  </si>
  <si>
    <t>*0.41</t>
  </si>
  <si>
    <t>*0.330</t>
  </si>
  <si>
    <t>*5.95</t>
  </si>
  <si>
    <t>26-ZD-GZXT-36-10-7100</t>
  </si>
  <si>
    <t>4.10-4.30</t>
  </si>
  <si>
    <t>26-ZD-GZXT-4-1-9890</t>
  </si>
  <si>
    <t>26-ZD-GZXT-4-11-13255</t>
  </si>
  <si>
    <t>*40.0</t>
  </si>
  <si>
    <t>*17.5</t>
  </si>
  <si>
    <t>*1.144</t>
  </si>
  <si>
    <t>*0.76</t>
  </si>
  <si>
    <t>*0.560</t>
  </si>
  <si>
    <t>*3.83</t>
  </si>
  <si>
    <t>26-ZD-GZXT-4-11-13258</t>
  </si>
  <si>
    <t>8.80-9.00</t>
  </si>
  <si>
    <t>26-ZD-GZXT-5-5-15065</t>
  </si>
  <si>
    <t>6.60-6.80</t>
  </si>
  <si>
    <t>*25.2</t>
  </si>
  <si>
    <t>*19.8</t>
  </si>
  <si>
    <t>*0.682</t>
  </si>
  <si>
    <t>*0.22</t>
  </si>
  <si>
    <t>26-ZD-GZXT-5-10-13238</t>
  </si>
  <si>
    <t>26-ZD-GZXT-5-10-13239</t>
  </si>
  <si>
    <t>10.60-10.80</t>
  </si>
  <si>
    <t>*32.1</t>
  </si>
  <si>
    <t>*0.873</t>
  </si>
  <si>
    <t>*48.5</t>
  </si>
  <si>
    <t>*26.4</t>
  </si>
  <si>
    <t>*22.1</t>
  </si>
  <si>
    <t>*0.26</t>
  </si>
  <si>
    <t>*0.220</t>
  </si>
  <si>
    <t>*8.51</t>
  </si>
  <si>
    <t>26-ZD-GZXT-6-4-13253</t>
  </si>
  <si>
    <t>26-ZD-GZXT-6-4-13254</t>
  </si>
  <si>
    <t>8.70-8.90</t>
  </si>
  <si>
    <t>*33.1</t>
  </si>
  <si>
    <t>*0.911</t>
  </si>
  <si>
    <t>*0.64</t>
  </si>
  <si>
    <t>*0.400</t>
  </si>
  <si>
    <t>*4.78</t>
  </si>
  <si>
    <t>26-ZD-GZXT-9-9-9909</t>
  </si>
  <si>
    <t>3.80-4.00</t>
  </si>
  <si>
    <t>*21.3</t>
  </si>
  <si>
    <t>*31.5</t>
  </si>
  <si>
    <t>*18.7</t>
  </si>
  <si>
    <t>*12.8</t>
  </si>
  <si>
    <t>*0.20</t>
  </si>
  <si>
    <t>26-ZD-GZXT-9-9-9910</t>
  </si>
  <si>
    <t>26-ZD-GZXT-Y34-1-11691</t>
  </si>
  <si>
    <t>*24.7</t>
  </si>
  <si>
    <t>*0.746</t>
  </si>
  <si>
    <t>*31.6</t>
  </si>
  <si>
    <t>*18.5</t>
  </si>
  <si>
    <t>*13.1</t>
  </si>
  <si>
    <t>*0.47</t>
  </si>
  <si>
    <t>*0.270</t>
  </si>
  <si>
    <t>*6.47</t>
  </si>
  <si>
    <t>26-ZD-GZXT-Y34-1-11693</t>
  </si>
  <si>
    <t>6.30-6.50</t>
  </si>
  <si>
    <t>26-ZD-GZXT-Z34-2-10638</t>
  </si>
  <si>
    <t>26-ZD-GZXT-Z34-2-10639</t>
  </si>
  <si>
    <t>序号</t>
  </si>
  <si>
    <t>报告编号</t>
  </si>
  <si>
    <t>工程名称</t>
  </si>
  <si>
    <t>钻孔编号</t>
  </si>
  <si>
    <t>钻孔里程</t>
  </si>
  <si>
    <t>偏移量</t>
  </si>
  <si>
    <t>取样深度</t>
  </si>
  <si>
    <t>岩土名称</t>
  </si>
  <si>
    <t>表5.5.2-2膨胀土的详判指标</t>
  </si>
  <si>
    <t>初判潜势分级</t>
  </si>
  <si>
    <t>表5.5.2-3膨胀土的膨胀潜势分级</t>
  </si>
  <si>
    <t>单由自由膨胀率判定</t>
  </si>
  <si>
    <t>备注</t>
  </si>
  <si>
    <r>
      <rPr>
        <sz val="10"/>
        <rFont val="宋体"/>
        <charset val="134"/>
      </rPr>
      <t>自由膨胀率</t>
    </r>
    <r>
      <rPr>
        <sz val="10"/>
        <rFont val="Times New Roman"/>
        <charset val="134"/>
      </rPr>
      <t>Fs(%)</t>
    </r>
  </si>
  <si>
    <t>蒙脱石含量M(%)</t>
  </si>
  <si>
    <r>
      <rPr>
        <sz val="10"/>
        <rFont val="宋体"/>
        <charset val="134"/>
      </rPr>
      <t>阳离子交换量CEC(NH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+</t>
    </r>
    <r>
      <rPr>
        <sz val="10"/>
        <rFont val="宋体"/>
        <charset val="134"/>
      </rPr>
      <t>)(mmol/kg)</t>
    </r>
  </si>
  <si>
    <r>
      <rPr>
        <sz val="10"/>
        <rFont val="Times New Roman"/>
        <charset val="134"/>
      </rPr>
      <t>HP2</t>
    </r>
    <r>
      <rPr>
        <sz val="12"/>
        <rFont val="宋体"/>
        <charset val="134"/>
      </rPr>
      <t>113</t>
    </r>
  </si>
  <si>
    <t>天生桥镇取土场</t>
  </si>
  <si>
    <t>粉土</t>
  </si>
  <si>
    <r>
      <rPr>
        <sz val="10"/>
        <rFont val="Times New Roman"/>
        <charset val="134"/>
      </rPr>
      <t>HP2114</t>
    </r>
  </si>
  <si>
    <t>上沙沟取土场</t>
  </si>
  <si>
    <r>
      <rPr>
        <sz val="10"/>
        <rFont val="Times New Roman"/>
        <charset val="134"/>
      </rPr>
      <t>HP2115</t>
    </r>
  </si>
  <si>
    <t>大沙河</t>
  </si>
  <si>
    <t>粗砂</t>
  </si>
  <si>
    <r>
      <rPr>
        <sz val="10"/>
        <rFont val="Times New Roman"/>
        <charset val="134"/>
      </rPr>
      <t>HP2116</t>
    </r>
  </si>
  <si>
    <t>淑吕村</t>
  </si>
  <si>
    <t>粉质黏土</t>
  </si>
  <si>
    <r>
      <rPr>
        <sz val="10"/>
        <rFont val="Times New Roman"/>
        <charset val="134"/>
      </rPr>
      <t>HP2117</t>
    </r>
  </si>
  <si>
    <t>阜平车站</t>
  </si>
  <si>
    <t>强风化片麻岩</t>
  </si>
  <si>
    <t>19-ZC-401</t>
  </si>
  <si>
    <t>19-ZC-402</t>
  </si>
  <si>
    <t>19-ZC-403</t>
  </si>
  <si>
    <t>19-ZC-405</t>
  </si>
  <si>
    <t>19-ZC-406</t>
  </si>
  <si>
    <t>19-ZC-408</t>
  </si>
  <si>
    <t>19-ZC-409</t>
  </si>
  <si>
    <t>19-ZC-411</t>
  </si>
  <si>
    <t>19-ZC-412</t>
  </si>
  <si>
    <t>19-ZC-419</t>
  </si>
  <si>
    <t>19-ZC-410</t>
  </si>
  <si>
    <t>19-ZC-413</t>
  </si>
  <si>
    <t>19-ZC-414</t>
  </si>
  <si>
    <t>19-ZC-415</t>
  </si>
  <si>
    <t>19-ZC-416</t>
  </si>
  <si>
    <t>19-ZC-417</t>
  </si>
  <si>
    <t>19-ZC-418</t>
  </si>
  <si>
    <t>19-ZC-420</t>
  </si>
  <si>
    <t>19-ZC-428</t>
  </si>
  <si>
    <t>19-ZC-427</t>
  </si>
  <si>
    <t>19-ZC-426</t>
  </si>
  <si>
    <t>19-ZC-425</t>
  </si>
  <si>
    <t>19-ZC-424</t>
  </si>
  <si>
    <t>19-ZC-423</t>
  </si>
  <si>
    <t>19-ZC-422</t>
  </si>
  <si>
    <t>19-ZC-421</t>
  </si>
  <si>
    <t>19-ZC-407</t>
  </si>
  <si>
    <t>19-ZC-301</t>
  </si>
  <si>
    <t>19-ZC-302</t>
  </si>
  <si>
    <t>19-ZC-304</t>
  </si>
  <si>
    <t>19-ZC-305</t>
  </si>
  <si>
    <t>19-ZC-306</t>
  </si>
  <si>
    <t>19-ZC-309</t>
  </si>
  <si>
    <t>19-ZC-310</t>
  </si>
  <si>
    <t>19-ZC-312</t>
  </si>
  <si>
    <t>19-ZC-315</t>
  </si>
  <si>
    <t>19-ZC-316</t>
  </si>
  <si>
    <t>HQ1770</t>
  </si>
  <si>
    <t>HQ1771</t>
  </si>
  <si>
    <t>HQ1843</t>
  </si>
  <si>
    <t>HQ1844</t>
  </si>
  <si>
    <t>HQ1845</t>
  </si>
  <si>
    <t>HQ1846</t>
  </si>
  <si>
    <t>HQ1847</t>
  </si>
  <si>
    <t>HQ1848</t>
  </si>
  <si>
    <t>HQ1849</t>
  </si>
  <si>
    <t>HQ1851</t>
  </si>
  <si>
    <t>HQ1850</t>
  </si>
  <si>
    <t>HQ1852</t>
  </si>
  <si>
    <t>弱</t>
  </si>
  <si>
    <t>HQ1678</t>
  </si>
  <si>
    <t>耕植土</t>
  </si>
  <si>
    <t>强</t>
  </si>
  <si>
    <t>HQ1679</t>
  </si>
  <si>
    <t>HQ1680</t>
  </si>
  <si>
    <t>HQ1769</t>
  </si>
  <si>
    <t>HQ1681</t>
  </si>
  <si>
    <t>HQ1682</t>
  </si>
  <si>
    <t>HQ1686</t>
  </si>
  <si>
    <t>HQ1683</t>
  </si>
  <si>
    <t>HQ1684</t>
  </si>
  <si>
    <t>HQ1731</t>
  </si>
  <si>
    <t>素填土</t>
  </si>
  <si>
    <t>HQ1732</t>
  </si>
  <si>
    <t>HQ1733</t>
  </si>
  <si>
    <t>HQ1734</t>
  </si>
  <si>
    <t>HQ1735</t>
  </si>
  <si>
    <t>HQ1736</t>
  </si>
  <si>
    <t>粉质黏土硬塑</t>
  </si>
  <si>
    <t>HQ1738</t>
  </si>
  <si>
    <t>HQ1685</t>
  </si>
  <si>
    <t>HQ1739</t>
  </si>
  <si>
    <t>HQ1768</t>
  </si>
  <si>
    <t>HQ1767</t>
  </si>
  <si>
    <t>HQ1764</t>
  </si>
  <si>
    <t>HQ1765</t>
  </si>
  <si>
    <t>HQ1766</t>
  </si>
  <si>
    <t>HQ1762</t>
  </si>
  <si>
    <t>HQ1763</t>
  </si>
  <si>
    <t>杂填土</t>
  </si>
  <si>
    <t>HQ1760</t>
  </si>
  <si>
    <t>HQ1759</t>
  </si>
  <si>
    <t>HQ1741</t>
  </si>
  <si>
    <t>HQ1740</t>
  </si>
  <si>
    <t>1.50m</t>
  </si>
  <si>
    <t>地下水</t>
  </si>
  <si>
    <t>H686</t>
  </si>
  <si>
    <t>H687</t>
  </si>
  <si>
    <t>19-ZC-303</t>
  </si>
  <si>
    <t>地表水</t>
  </si>
  <si>
    <t>H688</t>
  </si>
  <si>
    <t>2.20m</t>
  </si>
  <si>
    <t>H757</t>
  </si>
  <si>
    <t>0.80m</t>
  </si>
  <si>
    <t>H689</t>
  </si>
  <si>
    <t>H690</t>
  </si>
  <si>
    <t>19-ZC-307</t>
  </si>
  <si>
    <t>1.20m</t>
  </si>
  <si>
    <t>H747</t>
  </si>
  <si>
    <t>19-ZC-308</t>
  </si>
  <si>
    <t>H758</t>
  </si>
  <si>
    <t>1.40m</t>
  </si>
  <si>
    <t>H759</t>
  </si>
  <si>
    <t>H760</t>
  </si>
  <si>
    <t>19-ZC-311</t>
  </si>
  <si>
    <t>0.70m</t>
  </si>
  <si>
    <t>H761</t>
  </si>
  <si>
    <t>H691</t>
  </si>
  <si>
    <t>H692</t>
  </si>
  <si>
    <t>H693</t>
  </si>
  <si>
    <t>19-ZC-317</t>
  </si>
  <si>
    <t>0.60m</t>
  </si>
  <si>
    <t>H704</t>
  </si>
  <si>
    <t>19-ZC-318</t>
  </si>
  <si>
    <t>H748</t>
  </si>
  <si>
    <t>19-ZC-319</t>
  </si>
  <si>
    <t>H751</t>
  </si>
  <si>
    <t>19-ZC-320</t>
  </si>
  <si>
    <t>H813</t>
  </si>
  <si>
    <t>19-JC-201</t>
  </si>
  <si>
    <t>H814</t>
  </si>
  <si>
    <t>19-ZC-322</t>
  </si>
  <si>
    <t>H749</t>
  </si>
  <si>
    <t>19-ZC-323</t>
  </si>
  <si>
    <t>H815</t>
  </si>
  <si>
    <t>19-ZC-324</t>
  </si>
  <si>
    <t>H750</t>
  </si>
  <si>
    <t>19-ZC-325</t>
  </si>
  <si>
    <t>H816</t>
  </si>
  <si>
    <t>19-ZC-326</t>
  </si>
  <si>
    <t>H817</t>
  </si>
  <si>
    <t>19-ZC-327</t>
  </si>
  <si>
    <t>H818</t>
  </si>
  <si>
    <t>19-ZC-329</t>
  </si>
  <si>
    <t>2.00m</t>
  </si>
  <si>
    <t>H823</t>
  </si>
  <si>
    <t>19-ZC-330</t>
  </si>
  <si>
    <t>1.80m</t>
  </si>
  <si>
    <t>H824</t>
  </si>
  <si>
    <t>19-ZC-332</t>
  </si>
  <si>
    <t>1.00m</t>
  </si>
  <si>
    <t>H825</t>
  </si>
  <si>
    <t>19-ZC-333</t>
  </si>
  <si>
    <t>6.10m</t>
  </si>
  <si>
    <t>H826</t>
  </si>
  <si>
    <t>19-ZC-334</t>
  </si>
  <si>
    <t>H827</t>
  </si>
  <si>
    <t>19-ZC-335</t>
  </si>
  <si>
    <t>H828</t>
  </si>
  <si>
    <t>19-ZC-336</t>
  </si>
  <si>
    <t>H829</t>
  </si>
  <si>
    <t>19-ZC-337</t>
  </si>
  <si>
    <t>H830</t>
  </si>
  <si>
    <t>19-ZC-338</t>
  </si>
  <si>
    <t>4.000m</t>
  </si>
  <si>
    <t>H831</t>
  </si>
  <si>
    <t>19-ZC-339</t>
  </si>
  <si>
    <t>2.50m</t>
  </si>
  <si>
    <t>H832</t>
  </si>
  <si>
    <t>19-ZC-340</t>
  </si>
  <si>
    <t>H833</t>
  </si>
  <si>
    <t>19-ZC-341</t>
  </si>
  <si>
    <t>1.60m</t>
  </si>
  <si>
    <t>H872</t>
  </si>
  <si>
    <t>19-ZC-342</t>
  </si>
  <si>
    <t>0.90m</t>
  </si>
  <si>
    <t>H871</t>
  </si>
  <si>
    <t>19-ZC-344</t>
  </si>
  <si>
    <t>H870</t>
  </si>
  <si>
    <t>19-ZC-346</t>
  </si>
  <si>
    <t>1.70m</t>
  </si>
  <si>
    <t>H869</t>
  </si>
  <si>
    <t>19-ZC-347</t>
  </si>
  <si>
    <t>H868</t>
  </si>
  <si>
    <t>19-ZC-348</t>
  </si>
  <si>
    <t>H867</t>
  </si>
  <si>
    <t>19-ZC-349</t>
  </si>
  <si>
    <t>H866</t>
  </si>
  <si>
    <t>19-ZC-389</t>
  </si>
  <si>
    <t xml:space="preserve"> </t>
  </si>
  <si>
    <t>H798</t>
  </si>
  <si>
    <t>19-ZC-390</t>
  </si>
  <si>
    <t>H797</t>
  </si>
  <si>
    <t>19-ZC-393</t>
  </si>
  <si>
    <t>H796</t>
  </si>
  <si>
    <t>19-ZC-394</t>
  </si>
  <si>
    <t>H865</t>
  </si>
  <si>
    <t>19-ZC-395</t>
  </si>
  <si>
    <t>H795</t>
  </si>
  <si>
    <t>19-ZC-396</t>
  </si>
  <si>
    <t>1.90m</t>
  </si>
  <si>
    <t>H794</t>
  </si>
  <si>
    <t>19-ZC-397</t>
  </si>
  <si>
    <t>2.10m</t>
  </si>
  <si>
    <t>H793</t>
  </si>
  <si>
    <t>19-ZC-398</t>
  </si>
  <si>
    <t>H792</t>
  </si>
  <si>
    <t>19-ZC-399</t>
  </si>
  <si>
    <t>0.50m</t>
  </si>
  <si>
    <t>H791</t>
  </si>
  <si>
    <t>19-ZC-400</t>
  </si>
  <si>
    <t>H790</t>
  </si>
  <si>
    <t>H591</t>
  </si>
  <si>
    <t>H592</t>
  </si>
  <si>
    <t>H593</t>
  </si>
  <si>
    <t>19-ZC-404</t>
  </si>
  <si>
    <t>H789</t>
  </si>
  <si>
    <t>H594</t>
  </si>
  <si>
    <t>H595</t>
  </si>
  <si>
    <t>H641</t>
  </si>
  <si>
    <t>H596</t>
  </si>
  <si>
    <t>H597</t>
  </si>
  <si>
    <t>H624</t>
  </si>
  <si>
    <t>H598</t>
  </si>
  <si>
    <t>H599</t>
  </si>
  <si>
    <t>H623</t>
  </si>
  <si>
    <t>H622</t>
  </si>
  <si>
    <t>H621</t>
  </si>
  <si>
    <t>H620</t>
  </si>
  <si>
    <t>H619</t>
  </si>
  <si>
    <t>H618</t>
  </si>
  <si>
    <t>H617</t>
  </si>
  <si>
    <t>19-ZC-419-1</t>
  </si>
  <si>
    <t>H787</t>
  </si>
  <si>
    <t>H616</t>
  </si>
  <si>
    <t>H640</t>
  </si>
  <si>
    <t>6.20m</t>
  </si>
  <si>
    <t>H639</t>
  </si>
  <si>
    <t>6.40m</t>
  </si>
  <si>
    <t>H638</t>
  </si>
  <si>
    <t>7.20m</t>
  </si>
  <si>
    <t>H637</t>
  </si>
  <si>
    <t>H636</t>
  </si>
  <si>
    <t>H635</t>
  </si>
  <si>
    <t>H634</t>
  </si>
  <si>
    <t>新禹河水）</t>
  </si>
  <si>
    <t>H850</t>
  </si>
  <si>
    <t>新篁河水）</t>
  </si>
  <si>
    <t>19-ZC-343</t>
  </si>
  <si>
    <t>H851</t>
  </si>
  <si>
    <t>峨嵋河水）</t>
  </si>
  <si>
    <t>19-ZC-345</t>
  </si>
  <si>
    <t>H852</t>
  </si>
  <si>
    <t>八百河水）</t>
  </si>
  <si>
    <t>H853</t>
  </si>
  <si>
    <t>招兵河水</t>
  </si>
  <si>
    <t>H854</t>
  </si>
  <si>
    <t>滁河水</t>
  </si>
  <si>
    <t>H855</t>
  </si>
  <si>
    <t>马汊河水</t>
  </si>
  <si>
    <t>H856</t>
  </si>
  <si>
    <t>团结河水</t>
  </si>
  <si>
    <t>H857</t>
  </si>
  <si>
    <t>朱家山河水</t>
  </si>
  <si>
    <t>H858</t>
  </si>
  <si>
    <t>河水</t>
  </si>
  <si>
    <t>H859</t>
  </si>
  <si>
    <t>永宁河水）</t>
  </si>
  <si>
    <t>H860</t>
  </si>
  <si>
    <t>新河水</t>
  </si>
  <si>
    <t>H861</t>
  </si>
  <si>
    <t>万寿河水</t>
  </si>
  <si>
    <t>H862</t>
  </si>
  <si>
    <t>戴家坝水库水</t>
  </si>
  <si>
    <t>H864</t>
  </si>
  <si>
    <t>山湖水库水</t>
  </si>
  <si>
    <t>H863</t>
  </si>
  <si>
    <t>工点名称</t>
  </si>
  <si>
    <t>孔号</t>
  </si>
  <si>
    <t>里程</t>
  </si>
  <si>
    <t>湿陷系数δs</t>
  </si>
  <si>
    <t>湿陷土层厚度(m)</t>
  </si>
  <si>
    <t>湿陷程度等级</t>
  </si>
  <si>
    <t>场地湿陷类型</t>
  </si>
  <si>
    <t>地基湿陷等级</t>
  </si>
  <si>
    <t>结论</t>
  </si>
  <si>
    <t xml:space="preserve"> 跨南水北调干渠特大桥</t>
  </si>
  <si>
    <t>18-TX-ZC-030</t>
  </si>
  <si>
    <t>无</t>
  </si>
  <si>
    <t>18-TX-ZC-031</t>
  </si>
  <si>
    <t>18-TX-ZC-032</t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</si>
  <si>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2</t>
    </r>
    <r>
      <rPr>
        <sz val="10"/>
        <rFont val="宋体"/>
        <charset val="134"/>
      </rPr>
      <t>.5</t>
    </r>
  </si>
  <si>
    <t>强烈</t>
  </si>
  <si>
    <t>非自重湿陷场地</t>
  </si>
  <si>
    <t>Ⅰ级（轻微）</t>
  </si>
  <si>
    <t>18-TX-ZC-034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</si>
  <si>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21</t>
    </r>
    <r>
      <rPr>
        <sz val="10"/>
        <rFont val="宋体"/>
        <charset val="134"/>
      </rPr>
      <t>～0.0</t>
    </r>
    <r>
      <rPr>
        <sz val="10"/>
        <rFont val="宋体"/>
        <charset val="134"/>
      </rPr>
      <t>59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</si>
  <si>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4.7</t>
    </r>
  </si>
  <si>
    <t>轻微～中等</t>
  </si>
  <si>
    <t>18-TX-ZC-035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</si>
  <si>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2</t>
    </r>
    <r>
      <rPr>
        <sz val="10"/>
        <rFont val="宋体"/>
        <charset val="134"/>
      </rPr>
      <t>～0.</t>
    </r>
    <r>
      <rPr>
        <sz val="10"/>
        <rFont val="宋体"/>
        <charset val="134"/>
      </rPr>
      <t>081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</si>
  <si>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4.5</t>
    </r>
  </si>
  <si>
    <t>轻微～强烈</t>
  </si>
  <si>
    <t>18-TX-ZC-036</t>
  </si>
  <si>
    <t>0～6.8</t>
  </si>
  <si>
    <t>18-TX-ZC-037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</si>
  <si>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43</t>
    </r>
    <r>
      <rPr>
        <sz val="10"/>
        <rFont val="宋体"/>
        <charset val="134"/>
      </rPr>
      <t>～0.0</t>
    </r>
    <r>
      <rPr>
        <sz val="10"/>
        <rFont val="宋体"/>
        <charset val="134"/>
      </rPr>
      <t>47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</si>
  <si>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11.0</t>
    </r>
  </si>
  <si>
    <t>中等</t>
  </si>
  <si>
    <t>18-TX-ZC-038</t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</si>
  <si>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7.0</t>
    </r>
  </si>
  <si>
    <t>18-TX-ZC-039</t>
  </si>
  <si>
    <t>18-TX-ZC-040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</si>
  <si>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31</t>
    </r>
    <r>
      <rPr>
        <sz val="10"/>
        <rFont val="宋体"/>
        <charset val="134"/>
      </rPr>
      <t>～0.0</t>
    </r>
    <r>
      <rPr>
        <sz val="10"/>
        <rFont val="宋体"/>
        <charset val="134"/>
      </rPr>
      <t>91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</si>
  <si>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12.5</t>
    </r>
  </si>
  <si>
    <t>中等～强烈</t>
  </si>
  <si>
    <t>自重湿陷场地</t>
  </si>
  <si>
    <t>Ⅱ级（中等）</t>
  </si>
  <si>
    <t>18-TX-ZC-041</t>
  </si>
  <si>
    <t>18-TX-ZC-043</t>
  </si>
  <si>
    <t>18-TX-ZC-044</t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</si>
  <si>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1.</t>
    </r>
    <r>
      <rPr>
        <sz val="10"/>
        <rFont val="宋体"/>
        <charset val="134"/>
      </rPr>
      <t>5</t>
    </r>
  </si>
  <si>
    <t>18-TX-ZC-045</t>
  </si>
  <si>
    <t>18-TX-ZC-046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</si>
  <si>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49</t>
    </r>
    <r>
      <rPr>
        <sz val="10"/>
        <rFont val="宋体"/>
        <charset val="134"/>
      </rPr>
      <t>～0.07</t>
    </r>
    <r>
      <rPr>
        <sz val="10"/>
        <rFont val="宋体"/>
        <charset val="134"/>
      </rPr>
      <t>6</t>
    </r>
  </si>
  <si>
    <t>0～3.0</t>
  </si>
  <si>
    <t>18-TX-SC-005</t>
  </si>
  <si>
    <t>18-TX-SC-006</t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</si>
  <si>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5.5</t>
    </r>
  </si>
  <si>
    <t>18-TX-SC-007</t>
  </si>
  <si>
    <r>
      <rPr>
        <sz val="10"/>
        <rFont val="宋体"/>
        <charset val="134"/>
      </rPr>
      <t>0.057</t>
    </r>
    <r>
      <rPr>
        <sz val="10"/>
        <rFont val="宋体"/>
        <charset val="134"/>
      </rPr>
      <t>～0.</t>
    </r>
    <r>
      <rPr>
        <sz val="10"/>
        <rFont val="宋体"/>
        <charset val="134"/>
      </rPr>
      <t>84</t>
    </r>
  </si>
  <si>
    <t>18-TX-SC-008</t>
  </si>
  <si>
    <r>
      <rPr>
        <sz val="10"/>
        <rFont val="宋体"/>
        <charset val="134"/>
      </rPr>
      <t>0.0</t>
    </r>
    <r>
      <rPr>
        <sz val="10"/>
        <rFont val="宋体"/>
        <charset val="134"/>
      </rPr>
      <t>21</t>
    </r>
    <r>
      <rPr>
        <sz val="10"/>
        <rFont val="宋体"/>
        <charset val="134"/>
      </rPr>
      <t>～0.</t>
    </r>
    <r>
      <rPr>
        <sz val="10"/>
        <rFont val="宋体"/>
        <charset val="134"/>
      </rPr>
      <t>038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</si>
  <si>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5.6</t>
    </r>
  </si>
  <si>
    <t>18-TX-SC-009</t>
  </si>
  <si>
    <r>
      <rPr>
        <sz val="10"/>
        <rFont val="宋体"/>
        <charset val="134"/>
      </rPr>
      <t>0.036</t>
    </r>
    <r>
      <rPr>
        <sz val="10"/>
        <rFont val="宋体"/>
        <charset val="134"/>
      </rPr>
      <t>～0.</t>
    </r>
    <r>
      <rPr>
        <sz val="10"/>
        <rFont val="宋体"/>
        <charset val="134"/>
      </rPr>
      <t>32</t>
    </r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</si>
  <si>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3.5</t>
    </r>
  </si>
  <si>
    <t>18-TX-SC-010</t>
  </si>
  <si>
    <r>
      <rPr>
        <sz val="10"/>
        <rFont val="宋体"/>
        <charset val="134"/>
      </rPr>
      <t>0～</t>
    </r>
    <r>
      <rPr>
        <sz val="10"/>
        <rFont val="宋体"/>
        <charset val="134"/>
      </rPr>
      <t>2.0</t>
    </r>
  </si>
  <si>
    <t>黄土湿陷性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</si>
</sst>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DK&quot;###\+###.###"/>
    <numFmt numFmtId="177" formatCode="&quot;DK&quot;###&quot;+&quot;###.00"/>
    <numFmt numFmtId="178" formatCode="&quot;DK&quot;0\+000.00"/>
    <numFmt numFmtId="179" formatCode="0.00_ "/>
    <numFmt numFmtId="180" formatCode="\C\K0\+000.000"/>
    <numFmt numFmtId="181" formatCode="0.0_ "/>
    <numFmt numFmtId="182" formatCode="0.00_);[Red]\(0.00\)"/>
    <numFmt numFmtId="183" formatCode="&quot;05-ZD-14&quot;#"/>
    <numFmt numFmtId="184" formatCode="\H\N\X\L\C\K0\+000.###"/>
    <numFmt numFmtId="185" formatCode="&quot;右&quot;0.00;&quot;左&quot;0.00"/>
    <numFmt numFmtId="186" formatCode="0.0"/>
    <numFmt numFmtId="187" formatCode="&quot;改&quot;&quot;合&quot;&quot;宁&quot;\C\K0\+000.000"/>
    <numFmt numFmtId="188" formatCode="0.0_);[Red]\(0.0\)"/>
    <numFmt numFmtId="189" formatCode="&quot;CK&quot;###\+###.###"/>
    <numFmt numFmtId="190" formatCode="0.000_);[Red]\(0.000\)"/>
  </numFmts>
  <fonts count="69">
    <font>
      <sz val="12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sz val="11"/>
      <color indexed="8"/>
      <name val="Times New Roman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1"/>
      <color rgb="FFFF0000"/>
      <name val="宋体"/>
      <charset val="134"/>
    </font>
    <font>
      <sz val="10"/>
      <name val="Times New Roman"/>
      <charset val="134"/>
    </font>
    <font>
      <b/>
      <sz val="2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theme="3"/>
      <name val="宋体"/>
      <charset val="134"/>
      <scheme val="major"/>
    </font>
    <font>
      <b/>
      <sz val="18"/>
      <color indexed="56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sz val="11"/>
      <color rgb="FF006100"/>
      <name val="宋体"/>
      <charset val="134"/>
      <scheme val="minor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1"/>
      <color theme="0"/>
      <name val="宋体"/>
      <charset val="134"/>
      <scheme val="minor"/>
    </font>
    <font>
      <i/>
      <sz val="11"/>
      <color indexed="23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rgb="FF3F3F3F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2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theme="1"/>
      <name val="宋体"/>
      <charset val="134"/>
    </font>
    <font>
      <vertAlign val="superscript"/>
      <sz val="10"/>
      <color theme="1"/>
      <name val="宋体"/>
      <charset val="134"/>
    </font>
  </fonts>
  <fills count="9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853511154515"/>
      </bottom>
      <diagonal/>
    </border>
    <border>
      <left/>
      <right/>
      <top/>
      <bottom style="medium">
        <color theme="4" tint="0.399822992645039"/>
      </bottom>
      <diagonal/>
    </border>
    <border>
      <left/>
      <right/>
      <top/>
      <bottom style="medium">
        <color theme="4" tint="0.399884029663991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73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8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5" fillId="0" borderId="0"/>
    <xf numFmtId="0" fontId="8" fillId="3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6" fillId="52" borderId="0" applyNumberFormat="0" applyBorder="0" applyAlignment="0" applyProtection="0">
      <alignment vertical="center"/>
    </xf>
    <xf numFmtId="0" fontId="16" fillId="53" borderId="0" applyNumberFormat="0" applyBorder="0" applyAlignment="0" applyProtection="0">
      <alignment vertical="center"/>
    </xf>
    <xf numFmtId="0" fontId="16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6" fillId="57" borderId="0" applyNumberFormat="0" applyBorder="0" applyAlignment="0" applyProtection="0">
      <alignment vertical="center"/>
    </xf>
    <xf numFmtId="0" fontId="16" fillId="58" borderId="0" applyNumberFormat="0" applyBorder="0" applyAlignment="0" applyProtection="0">
      <alignment vertical="center"/>
    </xf>
    <xf numFmtId="0" fontId="16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6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36" fillId="68" borderId="0" applyNumberFormat="0" applyBorder="0" applyAlignment="0" applyProtection="0">
      <alignment vertical="center"/>
    </xf>
    <xf numFmtId="0" fontId="36" fillId="69" borderId="0" applyNumberFormat="0" applyBorder="0" applyAlignment="0" applyProtection="0">
      <alignment vertical="center"/>
    </xf>
    <xf numFmtId="0" fontId="36" fillId="70" borderId="0" applyNumberFormat="0" applyBorder="0" applyAlignment="0" applyProtection="0">
      <alignment vertical="center"/>
    </xf>
    <xf numFmtId="0" fontId="37" fillId="71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6" fillId="72" borderId="0" applyNumberFormat="0" applyBorder="0" applyAlignment="0" applyProtection="0">
      <alignment vertical="center"/>
    </xf>
    <xf numFmtId="0" fontId="36" fillId="73" borderId="0" applyNumberFormat="0" applyBorder="0" applyAlignment="0" applyProtection="0">
      <alignment vertical="center"/>
    </xf>
    <xf numFmtId="0" fontId="36" fillId="74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6" fillId="75" borderId="0" applyNumberFormat="0" applyBorder="0" applyAlignment="0" applyProtection="0">
      <alignment vertical="center"/>
    </xf>
    <xf numFmtId="0" fontId="36" fillId="76" borderId="0" applyNumberFormat="0" applyBorder="0" applyAlignment="0" applyProtection="0">
      <alignment vertical="center"/>
    </xf>
    <xf numFmtId="0" fontId="36" fillId="77" borderId="0" applyNumberFormat="0" applyBorder="0" applyAlignment="0" applyProtection="0">
      <alignment vertical="center"/>
    </xf>
    <xf numFmtId="0" fontId="37" fillId="78" borderId="0" applyNumberFormat="0" applyBorder="0" applyAlignment="0" applyProtection="0">
      <alignment vertical="center"/>
    </xf>
    <xf numFmtId="0" fontId="36" fillId="79" borderId="0" applyNumberFormat="0" applyBorder="0" applyAlignment="0" applyProtection="0">
      <alignment vertical="center"/>
    </xf>
    <xf numFmtId="0" fontId="36" fillId="80" borderId="0" applyNumberFormat="0" applyBorder="0" applyAlignment="0" applyProtection="0">
      <alignment vertical="center"/>
    </xf>
    <xf numFmtId="0" fontId="36" fillId="81" borderId="0" applyNumberFormat="0" applyBorder="0" applyAlignment="0" applyProtection="0">
      <alignment vertical="center"/>
    </xf>
    <xf numFmtId="0" fontId="36" fillId="82" borderId="0" applyNumberFormat="0" applyBorder="0" applyAlignment="0" applyProtection="0">
      <alignment vertical="center"/>
    </xf>
    <xf numFmtId="0" fontId="36" fillId="83" borderId="0" applyNumberFormat="0" applyBorder="0" applyAlignment="0" applyProtection="0">
      <alignment vertical="center"/>
    </xf>
    <xf numFmtId="0" fontId="36" fillId="84" borderId="0" applyNumberFormat="0" applyBorder="0" applyAlignment="0" applyProtection="0">
      <alignment vertical="center"/>
    </xf>
    <xf numFmtId="0" fontId="37" fillId="85" borderId="0" applyNumberFormat="0" applyBorder="0" applyAlignment="0" applyProtection="0">
      <alignment vertical="center"/>
    </xf>
    <xf numFmtId="0" fontId="36" fillId="86" borderId="0" applyNumberFormat="0" applyBorder="0" applyAlignment="0" applyProtection="0">
      <alignment vertical="center"/>
    </xf>
    <xf numFmtId="0" fontId="36" fillId="87" borderId="0" applyNumberFormat="0" applyBorder="0" applyAlignment="0" applyProtection="0">
      <alignment vertical="center"/>
    </xf>
    <xf numFmtId="0" fontId="36" fillId="88" borderId="0" applyNumberFormat="0" applyBorder="0" applyAlignment="0" applyProtection="0">
      <alignment vertical="center"/>
    </xf>
    <xf numFmtId="0" fontId="37" fillId="89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56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7" fillId="67" borderId="0" applyNumberFormat="0" applyBorder="0" applyAlignment="0" applyProtection="0">
      <alignment vertical="center"/>
    </xf>
    <xf numFmtId="0" fontId="37" fillId="90" borderId="0" applyNumberFormat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 applyProtection="0"/>
    <xf numFmtId="0" fontId="8" fillId="0" borderId="0">
      <alignment vertical="center"/>
    </xf>
    <xf numFmtId="0" fontId="5" fillId="0" borderId="0">
      <alignment vertical="center"/>
    </xf>
    <xf numFmtId="0" fontId="0" fillId="0" borderId="0"/>
    <xf numFmtId="0" fontId="16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45" fillId="9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7" borderId="16" applyNumberFormat="0" applyAlignment="0" applyProtection="0">
      <alignment vertical="center"/>
    </xf>
    <xf numFmtId="0" fontId="50" fillId="66" borderId="30" applyNumberFormat="0" applyAlignment="0" applyProtection="0">
      <alignment vertical="center"/>
    </xf>
    <xf numFmtId="0" fontId="51" fillId="91" borderId="31" applyNumberFormat="0" applyAlignment="0" applyProtection="0">
      <alignment vertical="center"/>
    </xf>
    <xf numFmtId="0" fontId="52" fillId="8" borderId="18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32" applyNumberFormat="0" applyFill="0" applyAlignment="0" applyProtection="0">
      <alignment vertical="center"/>
    </xf>
    <xf numFmtId="0" fontId="58" fillId="0" borderId="19" applyNumberFormat="0" applyFill="0" applyAlignment="0" applyProtection="0">
      <alignment vertical="center"/>
    </xf>
    <xf numFmtId="0" fontId="37" fillId="9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9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94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0" fontId="61" fillId="7" borderId="17" applyNumberFormat="0" applyAlignment="0" applyProtection="0">
      <alignment vertical="center"/>
    </xf>
    <xf numFmtId="0" fontId="62" fillId="66" borderId="33" applyNumberFormat="0" applyAlignment="0" applyProtection="0">
      <alignment vertical="center"/>
    </xf>
    <xf numFmtId="0" fontId="63" fillId="6" borderId="16" applyNumberFormat="0" applyAlignment="0" applyProtection="0">
      <alignment vertical="center"/>
    </xf>
    <xf numFmtId="0" fontId="64" fillId="56" borderId="30" applyNumberFormat="0" applyAlignment="0" applyProtection="0">
      <alignment vertical="center"/>
    </xf>
    <xf numFmtId="176" fontId="0" fillId="0" borderId="0">
      <alignment vertical="center"/>
    </xf>
    <xf numFmtId="177" fontId="9" fillId="0" borderId="1">
      <alignment horizontal="center" vertical="center"/>
    </xf>
    <xf numFmtId="0" fontId="37" fillId="91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5" fillId="61" borderId="34" applyNumberFormat="0" applyFont="0" applyAlignment="0" applyProtection="0">
      <alignment vertical="center"/>
    </xf>
    <xf numFmtId="0" fontId="0" fillId="61" borderId="34" applyNumberFormat="0" applyFont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0" xfId="134"/>
    <xf numFmtId="0" fontId="1" fillId="0" borderId="0" xfId="134" applyFont="1" applyAlignment="1">
      <alignment horizontal="center"/>
    </xf>
    <xf numFmtId="0" fontId="2" fillId="0" borderId="1" xfId="134" applyFont="1" applyBorder="1" applyAlignment="1">
      <alignment horizontal="center" vertical="center" wrapText="1"/>
    </xf>
    <xf numFmtId="0" fontId="1" fillId="0" borderId="2" xfId="134" applyFont="1" applyBorder="1" applyAlignment="1">
      <alignment horizontal="center" vertical="center" wrapText="1"/>
    </xf>
    <xf numFmtId="178" fontId="1" fillId="0" borderId="2" xfId="134" applyNumberFormat="1" applyFont="1" applyBorder="1" applyAlignment="1" applyProtection="1">
      <alignment horizontal="center" vertical="center"/>
      <protection hidden="1"/>
    </xf>
    <xf numFmtId="178" fontId="1" fillId="0" borderId="1" xfId="134" applyNumberFormat="1" applyFont="1" applyBorder="1" applyAlignment="1" applyProtection="1">
      <alignment horizontal="center" vertical="center"/>
      <protection hidden="1"/>
    </xf>
    <xf numFmtId="179" fontId="1" fillId="0" borderId="1" xfId="0" applyNumberFormat="1" applyFont="1" applyBorder="1" applyAlignment="1">
      <alignment horizontal="center" vertical="center"/>
    </xf>
    <xf numFmtId="0" fontId="1" fillId="0" borderId="1" xfId="134" applyFont="1" applyBorder="1" applyAlignment="1">
      <alignment horizontal="center" vertical="center" wrapText="1"/>
    </xf>
    <xf numFmtId="0" fontId="0" fillId="0" borderId="0" xfId="134" applyAlignment="1">
      <alignment horizontal="center" vertical="center"/>
    </xf>
    <xf numFmtId="0" fontId="1" fillId="0" borderId="0" xfId="134" applyFont="1" applyAlignment="1">
      <alignment horizontal="center" vertical="center"/>
    </xf>
    <xf numFmtId="0" fontId="1" fillId="0" borderId="0" xfId="134" applyFont="1"/>
    <xf numFmtId="0" fontId="1" fillId="0" borderId="0" xfId="134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80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81" fontId="6" fillId="0" borderId="4" xfId="0" applyNumberFormat="1" applyFont="1" applyBorder="1" applyAlignment="1">
      <alignment horizontal="center" vertical="center"/>
    </xf>
    <xf numFmtId="179" fontId="6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83" fontId="8" fillId="0" borderId="1" xfId="0" applyNumberFormat="1" applyFont="1" applyBorder="1" applyAlignment="1">
      <alignment horizontal="center" vertical="center" wrapText="1"/>
    </xf>
    <xf numFmtId="184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85" fontId="5" fillId="0" borderId="1" xfId="0" applyNumberFormat="1" applyFont="1" applyBorder="1" applyAlignment="1" applyProtection="1">
      <alignment horizontal="center" vertical="center"/>
      <protection locked="0"/>
    </xf>
    <xf numFmtId="2" fontId="3" fillId="0" borderId="7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7" fillId="0" borderId="7" xfId="0" applyNumberFormat="1" applyFont="1" applyBorder="1" applyAlignment="1">
      <alignment horizontal="center" vertical="center"/>
    </xf>
    <xf numFmtId="0" fontId="0" fillId="0" borderId="7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0" fillId="0" borderId="5" xfId="0" applyBorder="1" applyAlignment="1"/>
    <xf numFmtId="181" fontId="7" fillId="0" borderId="1" xfId="0" applyNumberFormat="1" applyFon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/>
    <xf numFmtId="181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9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/>
    </xf>
    <xf numFmtId="187" fontId="5" fillId="0" borderId="1" xfId="0" applyNumberFormat="1" applyFont="1" applyBorder="1" applyAlignment="1" applyProtection="1">
      <alignment horizontal="center" vertical="center"/>
      <protection locked="0"/>
    </xf>
    <xf numFmtId="188" fontId="7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wrapText="1"/>
    </xf>
    <xf numFmtId="182" fontId="9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9" fontId="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vertic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/>
    <xf numFmtId="189" fontId="7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/>
    <xf numFmtId="179" fontId="4" fillId="0" borderId="1" xfId="137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190" fontId="1" fillId="0" borderId="0" xfId="0" applyNumberFormat="1" applyFont="1" applyAlignment="1">
      <alignment horizontal="center" vertical="center"/>
    </xf>
    <xf numFmtId="190" fontId="1" fillId="3" borderId="0" xfId="0" applyNumberFormat="1" applyFont="1" applyFill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4" fillId="0" borderId="1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2" fontId="15" fillId="4" borderId="1" xfId="0" applyNumberFormat="1" applyFont="1" applyFill="1" applyBorder="1" applyAlignment="1">
      <alignment horizontal="center" vertical="center"/>
    </xf>
    <xf numFmtId="188" fontId="15" fillId="0" borderId="1" xfId="0" applyNumberFormat="1" applyFont="1" applyFill="1" applyBorder="1" applyAlignment="1">
      <alignment horizontal="center" vertical="center"/>
    </xf>
    <xf numFmtId="182" fontId="15" fillId="0" borderId="1" xfId="0" applyNumberFormat="1" applyFont="1" applyFill="1" applyBorder="1" applyAlignment="1">
      <alignment horizontal="center" vertical="center"/>
    </xf>
    <xf numFmtId="190" fontId="15" fillId="0" borderId="1" xfId="0" applyNumberFormat="1" applyFont="1" applyFill="1" applyBorder="1" applyAlignment="1">
      <alignment horizontal="center" vertical="center"/>
    </xf>
    <xf numFmtId="190" fontId="15" fillId="4" borderId="1" xfId="0" applyNumberFormat="1" applyFont="1" applyFill="1" applyBorder="1" applyAlignment="1">
      <alignment horizontal="center" vertical="center"/>
    </xf>
    <xf numFmtId="190" fontId="15" fillId="3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 wrapText="1"/>
    </xf>
  </cellXfs>
  <cellStyles count="1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 4" xfId="49"/>
    <cellStyle name="20% - 强调文字颜色 1 2 10 3" xfId="50"/>
    <cellStyle name="20% - 强调文字颜色 1 2 20 2 2" xfId="51"/>
    <cellStyle name="20% - 强调文字颜色 1 2 20 2 3" xfId="52"/>
    <cellStyle name="20% - 强调文字颜色 1 2 20 3 2" xfId="53"/>
    <cellStyle name="20% - 强调文字颜色 2 2 20 2 2" xfId="54"/>
    <cellStyle name="20% - 强调文字颜色 2 2 20 2 3" xfId="55"/>
    <cellStyle name="20% - 强调文字颜色 2 2 20 3 2" xfId="56"/>
    <cellStyle name="20% - 强调文字颜色 2 3 6" xfId="57"/>
    <cellStyle name="20% - 强调文字颜色 3 2 20 2 2" xfId="58"/>
    <cellStyle name="20% - 强调文字颜色 3 2 20 2 2 2" xfId="59"/>
    <cellStyle name="20% - 强调文字颜色 3 2 20 2 3" xfId="60"/>
    <cellStyle name="20% - 强调文字颜色 3 2 3 3" xfId="61"/>
    <cellStyle name="20% - 强调文字颜色 4 2 20 2 2" xfId="62"/>
    <cellStyle name="20% - 强调文字颜色 4 2 20 2 2 2" xfId="63"/>
    <cellStyle name="20% - 强调文字颜色 4 2 20 2 3" xfId="64"/>
    <cellStyle name="20% - 强调文字颜色 4 2 9 2 2" xfId="65"/>
    <cellStyle name="20% - 强调文字颜色 5 2 20 2 2 2" xfId="66"/>
    <cellStyle name="20% - 强调文字颜色 5 2 20 2 3" xfId="67"/>
    <cellStyle name="20% - 强调文字颜色 5 2 20 3" xfId="68"/>
    <cellStyle name="20% - 强调文字颜色 5 3 6" xfId="69"/>
    <cellStyle name="20% - 强调文字颜色 6 2 12" xfId="70"/>
    <cellStyle name="20% - 强调文字颜色 6 2 20" xfId="71"/>
    <cellStyle name="20% - 强调文字颜色 6 2 20 2 2" xfId="72"/>
    <cellStyle name="20% - 强调文字颜色 6 2 20 2 3" xfId="73"/>
    <cellStyle name="20% - 着色 3 2 3" xfId="74"/>
    <cellStyle name="20% - 着色 4 2 3" xfId="75"/>
    <cellStyle name="40% - 强调文字颜色 1 2 20 3" xfId="76"/>
    <cellStyle name="40% - 强调文字颜色 1 3 5" xfId="77"/>
    <cellStyle name="40% - 强调文字颜色 2 2 20 2" xfId="78"/>
    <cellStyle name="40% - 强调文字颜色 2 2 3 2 2" xfId="79"/>
    <cellStyle name="40% - 强调文字颜色 3 2 20 2" xfId="80"/>
    <cellStyle name="40% - 强调文字颜色 3 3 3 2" xfId="81"/>
    <cellStyle name="40% - 强调文字颜色 4 2 20" xfId="82"/>
    <cellStyle name="40% - 强调文字颜色 5 2 20 2" xfId="83"/>
    <cellStyle name="40% - 强调文字颜色 6 2 20 2 2" xfId="84"/>
    <cellStyle name="40% - 强调文字颜色 6 2_报生产室明细表" xfId="85"/>
    <cellStyle name="40% - 着色 3 2 3" xfId="86"/>
    <cellStyle name="40% - 着色 4 2 3" xfId="87"/>
    <cellStyle name="60% - 强调文字颜色 1 2 20" xfId="88"/>
    <cellStyle name="60% - 强调文字颜色 1 2 20 2" xfId="89"/>
    <cellStyle name="60% - 强调文字颜色 1 2 20 3" xfId="90"/>
    <cellStyle name="60% - 强调文字颜色 1 3 3" xfId="91"/>
    <cellStyle name="60% - 强调文字颜色 2 2 17 3" xfId="92"/>
    <cellStyle name="60% - 强调文字颜色 2 2 20" xfId="93"/>
    <cellStyle name="60% - 强调文字颜色 2 2 20 2" xfId="94"/>
    <cellStyle name="60% - 强调文字颜色 2 2 20 3" xfId="95"/>
    <cellStyle name="60% - 强调文字颜色 3 2 11 2 2" xfId="96"/>
    <cellStyle name="60% - 强调文字颜色 3 2 20 2" xfId="97"/>
    <cellStyle name="60% - 强调文字颜色 3 2 20 2 2" xfId="98"/>
    <cellStyle name="60% - 强调文字颜色 3 2 20 3" xfId="99"/>
    <cellStyle name="60% - 强调文字颜色 4 2 16 2" xfId="100"/>
    <cellStyle name="60% - 强调文字颜色 4 2 20" xfId="101"/>
    <cellStyle name="60% - 强调文字颜色 4 2 20 2" xfId="102"/>
    <cellStyle name="60% - 强调文字颜色 4 2 20 3" xfId="103"/>
    <cellStyle name="60% - 强调文字颜色 5 2 20 2" xfId="104"/>
    <cellStyle name="60% - 强调文字颜色 5 2 20 2 2" xfId="105"/>
    <cellStyle name="60% - 强调文字颜色 5 2 20 3" xfId="106"/>
    <cellStyle name="60% - 强调文字颜色 5 2 8 3" xfId="107"/>
    <cellStyle name="60% - 强调文字颜色 6 2 20" xfId="108"/>
    <cellStyle name="60% - 强调文字颜色 6 2 20 2" xfId="109"/>
    <cellStyle name="60% - 强调文字颜色 6 2 20 3" xfId="110"/>
    <cellStyle name="60% - 强调文字颜色 6 2 6 2 2" xfId="111"/>
    <cellStyle name="60% - 着色 1 2 3" xfId="112"/>
    <cellStyle name="60% - 着色 2 2 3" xfId="113"/>
    <cellStyle name="60% - 着色 3 2 3" xfId="114"/>
    <cellStyle name="60% - 着色 4 2 3" xfId="115"/>
    <cellStyle name="60% - 着色 6 2 3" xfId="116"/>
    <cellStyle name="标题 1 2 20" xfId="117"/>
    <cellStyle name="标题 1 3 5" xfId="118"/>
    <cellStyle name="标题 2 2 20" xfId="119"/>
    <cellStyle name="标题 2 2 21" xfId="120"/>
    <cellStyle name="标题 3 2 20" xfId="121"/>
    <cellStyle name="标题 3 2 20 2" xfId="122"/>
    <cellStyle name="标题 3 2 20 3" xfId="123"/>
    <cellStyle name="标题 3 3 2 2 2" xfId="124"/>
    <cellStyle name="标题 4 2 21" xfId="125"/>
    <cellStyle name="标题 5 20 2" xfId="126"/>
    <cellStyle name="标题 6 3 2 2" xfId="127"/>
    <cellStyle name="差 2 20" xfId="128"/>
    <cellStyle name="差_定测工点资料一览表 5 2 2" xfId="129"/>
    <cellStyle name="常规 15" xfId="130"/>
    <cellStyle name="常规 162" xfId="131"/>
    <cellStyle name="常规 2" xfId="132"/>
    <cellStyle name="常规 2 24" xfId="133"/>
    <cellStyle name="常规 245" xfId="134"/>
    <cellStyle name="常规 35 2 2" xfId="135"/>
    <cellStyle name="常规 60 4" xfId="136"/>
    <cellStyle name="常规_报告" xfId="137"/>
    <cellStyle name="好 2 4" xfId="138"/>
    <cellStyle name="好_定测工点资料一览表 2 2 2 2" xfId="139"/>
    <cellStyle name="汇总 2 16 3" xfId="140"/>
    <cellStyle name="汇总 2 4" xfId="141"/>
    <cellStyle name="计算 2 4" xfId="142"/>
    <cellStyle name="计算 2_明细" xfId="143"/>
    <cellStyle name="检查单元格 2" xfId="144"/>
    <cellStyle name="检查单元格 2 4" xfId="145"/>
    <cellStyle name="解释性文本 2" xfId="146"/>
    <cellStyle name="解释性文本 2 4" xfId="147"/>
    <cellStyle name="警告文本 2 4" xfId="148"/>
    <cellStyle name="警告文本 2 5" xfId="149"/>
    <cellStyle name="链接单元格 2 2 2 2" xfId="150"/>
    <cellStyle name="链接单元格 2 4" xfId="151"/>
    <cellStyle name="强调文字颜色 1 2 2" xfId="152"/>
    <cellStyle name="强调文字颜色 1 2 3" xfId="153"/>
    <cellStyle name="强调文字颜色 2 2 2 2" xfId="154"/>
    <cellStyle name="强调文字颜色 2 2 3 2" xfId="155"/>
    <cellStyle name="强调文字颜色 3 2 3" xfId="156"/>
    <cellStyle name="强调文字颜色 4 2 3" xfId="157"/>
    <cellStyle name="强调文字颜色 5 2 3" xfId="158"/>
    <cellStyle name="强调文字颜色 6 2 3" xfId="159"/>
    <cellStyle name="强调文字颜色 6 3" xfId="160"/>
    <cellStyle name="适中 2 4" xfId="161"/>
    <cellStyle name="适中 2 5" xfId="162"/>
    <cellStyle name="输出 2 4" xfId="163"/>
    <cellStyle name="输出 3 2 3 3" xfId="164"/>
    <cellStyle name="输入 2 4" xfId="165"/>
    <cellStyle name="输入 3 2 14 2" xfId="166"/>
    <cellStyle name="样式 1" xfId="167"/>
    <cellStyle name="样式 1 2 4" xfId="168"/>
    <cellStyle name="着色 3 2 3" xfId="169"/>
    <cellStyle name="着色 4 2 3" xfId="170"/>
    <cellStyle name="注释 2 3" xfId="171"/>
    <cellStyle name="注释 3" xfId="172"/>
  </cellStyles>
  <dxfs count="4">
    <dxf>
      <fill>
        <patternFill patternType="solid">
          <fgColor indexed="10"/>
          <bgColor indexed="43"/>
        </patternFill>
      </fill>
    </dxf>
    <dxf>
      <font>
        <b val="0"/>
        <i val="0"/>
        <color indexed="20"/>
      </font>
      <fill>
        <patternFill patternType="solid">
          <fgColor indexed="10"/>
          <bgColor indexed="11"/>
        </patternFill>
      </fill>
    </dxf>
    <dxf>
      <font>
        <b val="0"/>
        <i val="0"/>
        <color indexed="18"/>
      </font>
      <fill>
        <patternFill patternType="solid">
          <fgColor indexed="10"/>
          <bgColor indexed="10"/>
        </patternFill>
      </fill>
    </dxf>
    <dxf>
      <font>
        <b val="0"/>
        <i val="0"/>
        <color indexed="10"/>
      </font>
    </dxf>
  </dxf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0065;&#21335;&#38498;\&#26032;&#24314;&#27839;&#27743;&#22478;&#38469;&#38081;&#36335;&#24037;&#31243;\&#27839;&#27743;&#22478;&#38469;&#21021;&#27979;&#26368;&#32456;&#23384;&#26723;&#36164;&#26009;\&#28287;&#38519;&#24615;&#35780;&#20215;\&#36797;&#23425;&#26377;&#33394;&#28287;&#38519;&#24615;&#35780;&#20215;&#34920;\15-ZD-3025&#38075;&#23380;&#40644;&#22303;&#28287;&#38519;&#24615;&#22330;&#22320;&#35780;&#20215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评价表"/>
      <sheetName val="不带保护"/>
      <sheetName val="内插公式"/>
      <sheetName val="标准"/>
      <sheetName val="报表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workbookViewId="0">
      <selection activeCell="N16" sqref="N16"/>
    </sheetView>
  </sheetViews>
  <sheetFormatPr defaultColWidth="9" defaultRowHeight="15"/>
  <cols>
    <col min="4" max="4" width="20" customWidth="1"/>
    <col min="5" max="5" width="14.125" customWidth="1"/>
  </cols>
  <sheetData>
    <row r="1" s="96" customFormat="1" ht="24" customHeight="1" spans="1:19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2"/>
    </row>
    <row r="2" s="97" customFormat="1" customHeight="1" spans="1:19">
      <c r="A2" s="103" t="s">
        <v>1</v>
      </c>
      <c r="B2" s="104" t="s">
        <v>2</v>
      </c>
      <c r="C2" s="104" t="s">
        <v>3</v>
      </c>
      <c r="D2" s="104" t="s">
        <v>4</v>
      </c>
      <c r="E2" s="104" t="s">
        <v>5</v>
      </c>
      <c r="F2" s="104" t="s">
        <v>6</v>
      </c>
      <c r="G2" s="104" t="s">
        <v>7</v>
      </c>
      <c r="H2" s="104" t="s">
        <v>8</v>
      </c>
      <c r="I2" s="104" t="s">
        <v>9</v>
      </c>
      <c r="J2" s="104" t="s">
        <v>10</v>
      </c>
      <c r="K2" s="104" t="s">
        <v>11</v>
      </c>
      <c r="L2" s="104" t="s">
        <v>12</v>
      </c>
      <c r="M2" s="104" t="s">
        <v>13</v>
      </c>
      <c r="N2" s="104" t="s">
        <v>14</v>
      </c>
      <c r="O2" s="104" t="s">
        <v>15</v>
      </c>
      <c r="P2" s="104" t="s">
        <v>16</v>
      </c>
      <c r="Q2" s="104"/>
      <c r="R2" s="104" t="s">
        <v>17</v>
      </c>
      <c r="S2" s="105" t="s">
        <v>18</v>
      </c>
    </row>
    <row r="3" s="97" customFormat="1" ht="75" customHeight="1" spans="1:19">
      <c r="A3" s="103"/>
      <c r="B3" s="104" t="s">
        <v>19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 t="s">
        <v>20</v>
      </c>
      <c r="O3" s="104" t="s">
        <v>21</v>
      </c>
      <c r="P3" s="104" t="s">
        <v>22</v>
      </c>
      <c r="Q3" s="104" t="s">
        <v>23</v>
      </c>
      <c r="R3" s="104"/>
      <c r="S3" s="105"/>
    </row>
    <row r="4" s="76" customFormat="1" ht="13" spans="1:19">
      <c r="D4" s="76" t="s">
        <v>24</v>
      </c>
      <c r="E4" s="106"/>
      <c r="F4" s="107">
        <f t="shared" ref="F4:S4" si="0">SUBTOTAL(2,F14:F1460)</f>
        <v>25</v>
      </c>
      <c r="G4" s="107">
        <f t="shared" si="0"/>
        <v>30</v>
      </c>
      <c r="H4" s="107">
        <f t="shared" si="0"/>
        <v>33</v>
      </c>
      <c r="I4" s="107">
        <f t="shared" si="0"/>
        <v>25</v>
      </c>
      <c r="J4" s="107">
        <f t="shared" si="0"/>
        <v>32</v>
      </c>
      <c r="K4" s="107">
        <f t="shared" si="0"/>
        <v>33</v>
      </c>
      <c r="L4" s="107">
        <f t="shared" si="0"/>
        <v>32</v>
      </c>
      <c r="M4" s="107">
        <f t="shared" si="0"/>
        <v>25</v>
      </c>
      <c r="N4" s="107">
        <f t="shared" si="0"/>
        <v>25</v>
      </c>
      <c r="O4" s="107">
        <f t="shared" si="0"/>
        <v>25</v>
      </c>
      <c r="P4" s="107">
        <f t="shared" si="0"/>
        <v>15</v>
      </c>
      <c r="Q4" s="107">
        <f t="shared" si="0"/>
        <v>15</v>
      </c>
      <c r="R4" s="106">
        <f t="shared" si="0"/>
        <v>6</v>
      </c>
      <c r="S4" s="106">
        <f t="shared" si="0"/>
        <v>0</v>
      </c>
    </row>
    <row r="5" s="76" customFormat="1" ht="13" spans="1:19">
      <c r="D5" s="76" t="s">
        <v>25</v>
      </c>
      <c r="E5" s="108"/>
      <c r="F5" s="109">
        <f t="shared" ref="F5:S5" si="1">SUBTOTAL(4,F14:F1460)</f>
        <v>33.5</v>
      </c>
      <c r="G5" s="109">
        <f t="shared" si="1"/>
        <v>20</v>
      </c>
      <c r="H5" s="110">
        <f t="shared" si="1"/>
        <v>2.68</v>
      </c>
      <c r="I5" s="111">
        <f t="shared" si="1"/>
        <v>0.977</v>
      </c>
      <c r="J5" s="109">
        <f t="shared" si="1"/>
        <v>48.5</v>
      </c>
      <c r="K5" s="109">
        <f t="shared" si="1"/>
        <v>26.5</v>
      </c>
      <c r="L5" s="109">
        <f t="shared" si="1"/>
        <v>22</v>
      </c>
      <c r="M5" s="110">
        <f t="shared" si="1"/>
        <v>0.7</v>
      </c>
      <c r="N5" s="110">
        <f t="shared" si="1"/>
        <v>0.47</v>
      </c>
      <c r="O5" s="110">
        <f t="shared" si="1"/>
        <v>8.5</v>
      </c>
      <c r="P5" s="109">
        <f t="shared" si="1"/>
        <v>15.1</v>
      </c>
      <c r="Q5" s="109">
        <f t="shared" si="1"/>
        <v>58</v>
      </c>
      <c r="R5" s="108">
        <f t="shared" si="1"/>
        <v>4</v>
      </c>
      <c r="S5" s="108">
        <f t="shared" si="1"/>
        <v>0</v>
      </c>
    </row>
    <row r="6" s="76" customFormat="1" ht="13" spans="1:19">
      <c r="D6" s="76" t="s">
        <v>26</v>
      </c>
      <c r="E6" s="108"/>
      <c r="F6" s="109">
        <f t="shared" ref="F6:S6" si="2">SUBTOTAL(5,F14:F1460)</f>
        <v>23.9</v>
      </c>
      <c r="G6" s="109">
        <f t="shared" si="2"/>
        <v>18.1</v>
      </c>
      <c r="H6" s="110">
        <f t="shared" si="2"/>
        <v>2.65</v>
      </c>
      <c r="I6" s="111">
        <f t="shared" si="2"/>
        <v>0.655</v>
      </c>
      <c r="J6" s="109">
        <f t="shared" si="2"/>
        <v>30.8</v>
      </c>
      <c r="K6" s="109">
        <f t="shared" si="2"/>
        <v>18.6</v>
      </c>
      <c r="L6" s="109">
        <f t="shared" si="2"/>
        <v>11.9</v>
      </c>
      <c r="M6" s="110">
        <f t="shared" si="2"/>
        <v>0.14</v>
      </c>
      <c r="N6" s="110">
        <f t="shared" si="2"/>
        <v>0.21</v>
      </c>
      <c r="O6" s="110">
        <f t="shared" si="2"/>
        <v>3.99</v>
      </c>
      <c r="P6" s="109">
        <f t="shared" si="2"/>
        <v>6</v>
      </c>
      <c r="Q6" s="109">
        <f t="shared" si="2"/>
        <v>24</v>
      </c>
      <c r="R6" s="108">
        <f t="shared" si="2"/>
        <v>3</v>
      </c>
      <c r="S6" s="108">
        <f t="shared" si="2"/>
        <v>0</v>
      </c>
    </row>
    <row r="7" s="76" customFormat="1" ht="13" spans="1:19">
      <c r="D7" s="76" t="s">
        <v>27</v>
      </c>
      <c r="E7" s="108"/>
      <c r="F7" s="109">
        <f t="shared" ref="F7:S7" si="3">SUBTOTAL(1,F14:F1460)</f>
        <v>28.884</v>
      </c>
      <c r="G7" s="109">
        <f t="shared" si="3"/>
        <v>18.9733333333333</v>
      </c>
      <c r="H7" s="110">
        <f t="shared" si="3"/>
        <v>2.66515151515152</v>
      </c>
      <c r="I7" s="111">
        <f t="shared" si="3"/>
        <v>0.81216</v>
      </c>
      <c r="J7" s="109">
        <f t="shared" si="3"/>
        <v>38.76875</v>
      </c>
      <c r="K7" s="109">
        <f t="shared" si="3"/>
        <v>21.7181818181818</v>
      </c>
      <c r="L7" s="109">
        <f t="shared" si="3"/>
        <v>16.96875</v>
      </c>
      <c r="M7" s="110">
        <f t="shared" si="3"/>
        <v>0.448</v>
      </c>
      <c r="N7" s="110">
        <f t="shared" si="3"/>
        <v>0.3352</v>
      </c>
      <c r="O7" s="110">
        <f t="shared" si="3"/>
        <v>5.5832</v>
      </c>
      <c r="P7" s="109">
        <f t="shared" si="3"/>
        <v>10.7066666666667</v>
      </c>
      <c r="Q7" s="109">
        <f t="shared" si="3"/>
        <v>39.5333333333333</v>
      </c>
      <c r="R7" s="108">
        <f t="shared" si="3"/>
        <v>3.33333333333333</v>
      </c>
      <c r="S7" s="108" t="e">
        <f t="shared" si="3"/>
        <v>#DIV/0!</v>
      </c>
    </row>
    <row r="8" s="98" customFormat="1" ht="13" spans="1:19">
      <c r="D8" s="98" t="s">
        <v>28</v>
      </c>
      <c r="E8" s="112"/>
      <c r="F8" s="111">
        <f t="shared" ref="F8:S8" si="4">SUBTOTAL(7,F14:F1460)</f>
        <v>2.96924232759803</v>
      </c>
      <c r="G8" s="111">
        <f t="shared" si="4"/>
        <v>0.474111389016476</v>
      </c>
      <c r="H8" s="111">
        <f t="shared" si="4"/>
        <v>0.0071244351182004</v>
      </c>
      <c r="I8" s="111">
        <f t="shared" si="4"/>
        <v>0.0850086662248835</v>
      </c>
      <c r="J8" s="111">
        <f t="shared" si="4"/>
        <v>4.30921274899836</v>
      </c>
      <c r="K8" s="111">
        <f t="shared" si="4"/>
        <v>2.05524550623741</v>
      </c>
      <c r="L8" s="111">
        <f t="shared" si="4"/>
        <v>2.35829866230834</v>
      </c>
      <c r="M8" s="111">
        <f t="shared" si="4"/>
        <v>0.145</v>
      </c>
      <c r="N8" s="111">
        <f t="shared" si="4"/>
        <v>0.063712897700021</v>
      </c>
      <c r="O8" s="111">
        <f t="shared" si="4"/>
        <v>1.04724527531359</v>
      </c>
      <c r="P8" s="111">
        <f t="shared" si="4"/>
        <v>3.01104316680797</v>
      </c>
      <c r="Q8" s="111">
        <f t="shared" si="4"/>
        <v>9.78969331685601</v>
      </c>
      <c r="R8" s="112">
        <f t="shared" si="4"/>
        <v>0.516397779494322</v>
      </c>
      <c r="S8" s="112" t="e">
        <f t="shared" si="4"/>
        <v>#DIV/0!</v>
      </c>
    </row>
    <row r="9" s="99" customFormat="1" ht="13" spans="1:19">
      <c r="D9" s="99" t="s">
        <v>29</v>
      </c>
      <c r="E9" s="113"/>
      <c r="F9" s="113">
        <f t="shared" ref="F9:S9" si="5">F8/F7</f>
        <v>0.102798861916564</v>
      </c>
      <c r="G9" s="113">
        <f t="shared" si="5"/>
        <v>0.0249883023023441</v>
      </c>
      <c r="H9" s="113">
        <f t="shared" si="5"/>
        <v>0.00267318202274717</v>
      </c>
      <c r="I9" s="113">
        <f t="shared" si="5"/>
        <v>0.104669851045217</v>
      </c>
      <c r="J9" s="113">
        <f t="shared" si="5"/>
        <v>0.111151707212597</v>
      </c>
      <c r="K9" s="113">
        <f t="shared" si="5"/>
        <v>0.0946324845902531</v>
      </c>
      <c r="L9" s="113">
        <f t="shared" si="5"/>
        <v>0.138978926692204</v>
      </c>
      <c r="M9" s="113">
        <f t="shared" si="5"/>
        <v>0.323660714285714</v>
      </c>
      <c r="N9" s="113">
        <f t="shared" si="5"/>
        <v>0.190074277148034</v>
      </c>
      <c r="O9" s="113">
        <f t="shared" si="5"/>
        <v>0.187570797269235</v>
      </c>
      <c r="P9" s="113">
        <f t="shared" si="5"/>
        <v>0.28123068183138</v>
      </c>
      <c r="Q9" s="113">
        <f t="shared" si="5"/>
        <v>0.247631365519123</v>
      </c>
      <c r="R9" s="113">
        <f t="shared" si="5"/>
        <v>0.154919333848297</v>
      </c>
      <c r="S9" s="113" t="e">
        <f t="shared" si="5"/>
        <v>#DIV/0!</v>
      </c>
    </row>
    <row r="10" s="98" customFormat="1" ht="13" spans="1:19">
      <c r="D10" s="98" t="s">
        <v>30</v>
      </c>
      <c r="E10" s="112"/>
      <c r="F10" s="111">
        <f t="shared" ref="F10:S10" si="6">1-(1.704/SQRT(F4)+4.678/(F4*F4))*F9</f>
        <v>0.964196718937162</v>
      </c>
      <c r="G10" s="111">
        <f t="shared" si="6"/>
        <v>0.992096095269769</v>
      </c>
      <c r="H10" s="111">
        <f t="shared" si="6"/>
        <v>0.999195575346623</v>
      </c>
      <c r="I10" s="111">
        <f t="shared" si="6"/>
        <v>0.963545081862687</v>
      </c>
      <c r="J10" s="111">
        <f t="shared" si="6"/>
        <v>0.96601026941844</v>
      </c>
      <c r="K10" s="111">
        <f t="shared" si="6"/>
        <v>0.971522813273862</v>
      </c>
      <c r="L10" s="111">
        <f t="shared" si="6"/>
        <v>0.957500821235726</v>
      </c>
      <c r="M10" s="111">
        <f t="shared" si="6"/>
        <v>0.887273892857143</v>
      </c>
      <c r="N10" s="111">
        <f t="shared" si="6"/>
        <v>0.933800018398352</v>
      </c>
      <c r="O10" s="111">
        <f t="shared" si="6"/>
        <v>0.934671942387244</v>
      </c>
      <c r="P10" s="111">
        <f t="shared" si="6"/>
        <v>0.870419583167055</v>
      </c>
      <c r="Q10" s="111">
        <f t="shared" si="6"/>
        <v>0.885900871996183</v>
      </c>
      <c r="R10" s="112">
        <f t="shared" si="6"/>
        <v>0.872098670570841</v>
      </c>
      <c r="S10" s="112" t="e">
        <f t="shared" si="6"/>
        <v>#DIV/0!</v>
      </c>
    </row>
    <row r="11" s="76" customFormat="1" ht="13" spans="1:19">
      <c r="D11" s="76" t="s">
        <v>31</v>
      </c>
      <c r="E11" s="108"/>
      <c r="F11" s="109">
        <f t="shared" ref="F11:S11" si="7">F10*F7</f>
        <v>27.849858029781</v>
      </c>
      <c r="G11" s="109">
        <f t="shared" si="7"/>
        <v>18.8233699142518</v>
      </c>
      <c r="H11" s="110">
        <f t="shared" si="7"/>
        <v>2.66300760156774</v>
      </c>
      <c r="I11" s="111">
        <f t="shared" si="7"/>
        <v>0.782552773685599</v>
      </c>
      <c r="J11" s="109">
        <f t="shared" si="7"/>
        <v>37.4510106325161</v>
      </c>
      <c r="K11" s="109">
        <f t="shared" si="7"/>
        <v>21.0997090991932</v>
      </c>
      <c r="L11" s="109">
        <f t="shared" si="7"/>
        <v>16.2475920603437</v>
      </c>
      <c r="M11" s="110">
        <f t="shared" si="7"/>
        <v>0.397498704</v>
      </c>
      <c r="N11" s="110">
        <f t="shared" si="7"/>
        <v>0.313009766167128</v>
      </c>
      <c r="O11" s="110">
        <f t="shared" si="7"/>
        <v>5.21846038873646</v>
      </c>
      <c r="P11" s="109">
        <f t="shared" si="7"/>
        <v>9.3192923371086</v>
      </c>
      <c r="Q11" s="109">
        <f t="shared" si="7"/>
        <v>35.0226144729157</v>
      </c>
      <c r="R11" s="108">
        <f t="shared" si="7"/>
        <v>2.90699556856947</v>
      </c>
      <c r="S11" s="108" t="e">
        <f t="shared" si="7"/>
        <v>#DIV/0!</v>
      </c>
    </row>
    <row r="12" s="76" customFormat="1" ht="13" spans="1:19">
      <c r="D12" s="76" t="s">
        <v>32</v>
      </c>
      <c r="E12" s="108"/>
      <c r="F12" s="109">
        <f t="shared" ref="F12:S12" si="8">(F7+F5)/2</f>
        <v>31.192</v>
      </c>
      <c r="G12" s="109">
        <f t="shared" si="8"/>
        <v>19.4866666666667</v>
      </c>
      <c r="H12" s="110">
        <f t="shared" si="8"/>
        <v>2.67257575757576</v>
      </c>
      <c r="I12" s="111">
        <f t="shared" si="8"/>
        <v>0.89458</v>
      </c>
      <c r="J12" s="109">
        <f t="shared" si="8"/>
        <v>43.634375</v>
      </c>
      <c r="K12" s="109">
        <f t="shared" si="8"/>
        <v>24.1090909090909</v>
      </c>
      <c r="L12" s="109">
        <f t="shared" si="8"/>
        <v>19.484375</v>
      </c>
      <c r="M12" s="110">
        <f t="shared" si="8"/>
        <v>0.574</v>
      </c>
      <c r="N12" s="110">
        <f t="shared" si="8"/>
        <v>0.4026</v>
      </c>
      <c r="O12" s="110">
        <f t="shared" si="8"/>
        <v>7.0416</v>
      </c>
      <c r="P12" s="109">
        <f t="shared" si="8"/>
        <v>12.9033333333333</v>
      </c>
      <c r="Q12" s="109">
        <f t="shared" si="8"/>
        <v>48.7666666666667</v>
      </c>
      <c r="R12" s="108">
        <f t="shared" si="8"/>
        <v>3.66666666666667</v>
      </c>
      <c r="S12" s="108" t="e">
        <f t="shared" si="8"/>
        <v>#DIV/0!</v>
      </c>
    </row>
    <row r="13" s="76" customFormat="1" ht="13" spans="1:19">
      <c r="D13" s="76" t="s">
        <v>33</v>
      </c>
      <c r="E13" s="108"/>
      <c r="F13" s="109">
        <f t="shared" ref="F13:S13" si="9">(F7+F6)/2</f>
        <v>26.392</v>
      </c>
      <c r="G13" s="109">
        <f t="shared" si="9"/>
        <v>18.5366666666667</v>
      </c>
      <c r="H13" s="110">
        <f t="shared" si="9"/>
        <v>2.65757575757576</v>
      </c>
      <c r="I13" s="111">
        <f t="shared" si="9"/>
        <v>0.73358</v>
      </c>
      <c r="J13" s="109">
        <f t="shared" si="9"/>
        <v>34.784375</v>
      </c>
      <c r="K13" s="109">
        <f t="shared" si="9"/>
        <v>20.1590909090909</v>
      </c>
      <c r="L13" s="109">
        <f t="shared" si="9"/>
        <v>14.434375</v>
      </c>
      <c r="M13" s="110">
        <f t="shared" si="9"/>
        <v>0.294</v>
      </c>
      <c r="N13" s="110">
        <f t="shared" si="9"/>
        <v>0.2726</v>
      </c>
      <c r="O13" s="110">
        <f t="shared" si="9"/>
        <v>4.7866</v>
      </c>
      <c r="P13" s="109">
        <f t="shared" si="9"/>
        <v>8.35333333333333</v>
      </c>
      <c r="Q13" s="109">
        <f t="shared" si="9"/>
        <v>31.7666666666667</v>
      </c>
      <c r="R13" s="108">
        <f t="shared" si="9"/>
        <v>3.16666666666667</v>
      </c>
      <c r="S13" s="108" t="e">
        <f t="shared" si="9"/>
        <v>#DIV/0!</v>
      </c>
    </row>
    <row r="14" spans="1:19">
      <c r="D14" s="104" t="s">
        <v>34</v>
      </c>
      <c r="E14" s="104" t="s">
        <v>35</v>
      </c>
      <c r="F14" s="104">
        <v>23.9</v>
      </c>
      <c r="G14" s="104">
        <v>19.8</v>
      </c>
      <c r="H14" s="104">
        <v>2.66</v>
      </c>
      <c r="I14" s="104">
        <v>0.665</v>
      </c>
      <c r="J14" s="104">
        <v>34.8</v>
      </c>
      <c r="K14" s="104">
        <v>19.7</v>
      </c>
      <c r="L14" s="104">
        <v>15.1</v>
      </c>
      <c r="M14" s="104">
        <v>0.28</v>
      </c>
      <c r="N14" s="104">
        <v>0.22</v>
      </c>
      <c r="O14" s="104">
        <v>7.57</v>
      </c>
      <c r="P14" s="104"/>
      <c r="Q14" s="104"/>
      <c r="R14" s="114">
        <v>4</v>
      </c>
      <c r="S14" s="105"/>
    </row>
    <row r="15" spans="1:19">
      <c r="D15" s="104" t="s">
        <v>36</v>
      </c>
      <c r="E15" s="104" t="s">
        <v>37</v>
      </c>
      <c r="F15" s="104">
        <v>24.4</v>
      </c>
      <c r="G15" s="104">
        <v>20</v>
      </c>
      <c r="H15" s="104">
        <v>2.66</v>
      </c>
      <c r="I15" s="104">
        <v>0.655</v>
      </c>
      <c r="J15" s="104">
        <v>32.5</v>
      </c>
      <c r="K15" s="104">
        <v>18.6</v>
      </c>
      <c r="L15" s="104">
        <v>13.9</v>
      </c>
      <c r="M15" s="104">
        <v>0.42</v>
      </c>
      <c r="N15" s="104">
        <v>0.31</v>
      </c>
      <c r="O15" s="104">
        <v>5.34</v>
      </c>
      <c r="P15" s="104">
        <v>13.4</v>
      </c>
      <c r="Q15" s="104">
        <v>43</v>
      </c>
      <c r="R15" s="114">
        <v>3</v>
      </c>
      <c r="S15" s="105"/>
    </row>
    <row r="16" spans="1:19">
      <c r="D16" s="104" t="s">
        <v>38</v>
      </c>
      <c r="E16" s="104" t="s">
        <v>39</v>
      </c>
      <c r="F16" s="104">
        <v>26.7</v>
      </c>
      <c r="G16" s="104">
        <v>19.3</v>
      </c>
      <c r="H16" s="104">
        <v>2.66</v>
      </c>
      <c r="I16" s="104">
        <v>0.746</v>
      </c>
      <c r="J16" s="104">
        <v>36.5</v>
      </c>
      <c r="K16" s="104">
        <v>20.7</v>
      </c>
      <c r="L16" s="104">
        <v>15.8</v>
      </c>
      <c r="M16" s="104">
        <v>0.38</v>
      </c>
      <c r="N16" s="104">
        <v>0.28</v>
      </c>
      <c r="O16" s="104">
        <v>6.24</v>
      </c>
      <c r="P16" s="104"/>
      <c r="Q16" s="104"/>
      <c r="R16" s="114">
        <v>3</v>
      </c>
      <c r="S16" s="105"/>
    </row>
    <row r="17" spans="4:19">
      <c r="D17" s="104" t="s">
        <v>40</v>
      </c>
      <c r="E17" s="104" t="s">
        <v>41</v>
      </c>
      <c r="F17" s="104" t="s">
        <v>42</v>
      </c>
      <c r="G17" s="104">
        <v>19.2</v>
      </c>
      <c r="H17" s="104">
        <v>2.66</v>
      </c>
      <c r="I17" s="104" t="s">
        <v>43</v>
      </c>
      <c r="J17" s="104">
        <v>35.8</v>
      </c>
      <c r="K17" s="104">
        <v>20.4</v>
      </c>
      <c r="L17" s="104">
        <v>15.4</v>
      </c>
      <c r="M17" s="104" t="s">
        <v>44</v>
      </c>
      <c r="N17" s="104" t="s">
        <v>45</v>
      </c>
      <c r="O17" s="104" t="s">
        <v>46</v>
      </c>
      <c r="P17" s="104"/>
      <c r="Q17" s="104"/>
      <c r="R17" s="114">
        <v>3</v>
      </c>
      <c r="S17" s="105"/>
    </row>
    <row r="18" spans="4:19">
      <c r="D18" s="104" t="s">
        <v>47</v>
      </c>
      <c r="E18" s="104" t="s">
        <v>48</v>
      </c>
      <c r="F18" s="104">
        <v>25.3</v>
      </c>
      <c r="G18" s="104">
        <v>19.8</v>
      </c>
      <c r="H18" s="104">
        <v>2.66</v>
      </c>
      <c r="I18" s="104">
        <v>0.683</v>
      </c>
      <c r="J18" s="104">
        <v>34.1</v>
      </c>
      <c r="K18" s="104">
        <v>19.5</v>
      </c>
      <c r="L18" s="104">
        <v>14.6</v>
      </c>
      <c r="M18" s="104">
        <v>0.4</v>
      </c>
      <c r="N18" s="104">
        <v>0.33</v>
      </c>
      <c r="O18" s="104">
        <v>5.1</v>
      </c>
      <c r="P18" s="104">
        <v>15</v>
      </c>
      <c r="Q18" s="104">
        <v>37</v>
      </c>
      <c r="R18" s="114">
        <v>3</v>
      </c>
      <c r="S18" s="105"/>
    </row>
    <row r="19" spans="4:19">
      <c r="D19" s="104" t="s">
        <v>49</v>
      </c>
      <c r="E19" s="104" t="s">
        <v>50</v>
      </c>
      <c r="F19" s="104">
        <v>26.5</v>
      </c>
      <c r="G19" s="104">
        <v>19.4</v>
      </c>
      <c r="H19" s="104">
        <v>2.66</v>
      </c>
      <c r="I19" s="104">
        <v>0.734</v>
      </c>
      <c r="J19" s="104">
        <v>36.5</v>
      </c>
      <c r="K19" s="104">
        <v>20.7</v>
      </c>
      <c r="L19" s="104">
        <v>15.8</v>
      </c>
      <c r="M19" s="104">
        <v>0.37</v>
      </c>
      <c r="N19" s="104">
        <v>0.32</v>
      </c>
      <c r="O19" s="104">
        <v>5.42</v>
      </c>
      <c r="P19" s="104">
        <v>13.3</v>
      </c>
      <c r="Q19" s="104">
        <v>42</v>
      </c>
      <c r="R19" s="114">
        <v>4</v>
      </c>
      <c r="S19" s="105"/>
    </row>
    <row r="20" spans="4:19">
      <c r="D20" s="104" t="s">
        <v>51</v>
      </c>
      <c r="E20" s="104" t="s">
        <v>52</v>
      </c>
      <c r="F20" s="104" t="s">
        <v>53</v>
      </c>
      <c r="G20" s="104" t="s">
        <v>54</v>
      </c>
      <c r="H20" s="104">
        <v>2.67</v>
      </c>
      <c r="I20" s="104" t="s">
        <v>55</v>
      </c>
      <c r="J20" s="104">
        <v>43.3</v>
      </c>
      <c r="K20" s="104">
        <v>24.4</v>
      </c>
      <c r="L20" s="104">
        <v>18.9</v>
      </c>
      <c r="M20" s="104" t="s">
        <v>56</v>
      </c>
      <c r="N20" s="104" t="s">
        <v>57</v>
      </c>
      <c r="O20" s="104" t="s">
        <v>58</v>
      </c>
      <c r="P20" s="104"/>
      <c r="Q20" s="104"/>
      <c r="R20" s="104"/>
      <c r="S20" s="105"/>
    </row>
    <row r="21" spans="4:19">
      <c r="D21" s="104" t="s">
        <v>59</v>
      </c>
      <c r="E21" s="104" t="s">
        <v>52</v>
      </c>
      <c r="F21" s="104">
        <v>29.5</v>
      </c>
      <c r="G21" s="104">
        <v>18.8</v>
      </c>
      <c r="H21" s="104">
        <v>2.66</v>
      </c>
      <c r="I21" s="104">
        <v>0.832</v>
      </c>
      <c r="J21" s="104">
        <v>37.2</v>
      </c>
      <c r="K21" s="104">
        <v>21.8</v>
      </c>
      <c r="L21" s="104">
        <v>15.4</v>
      </c>
      <c r="M21" s="104">
        <v>0.5</v>
      </c>
      <c r="N21" s="104">
        <v>0.31</v>
      </c>
      <c r="O21" s="104">
        <v>5.91</v>
      </c>
      <c r="P21" s="104"/>
      <c r="Q21" s="104"/>
      <c r="R21" s="104"/>
      <c r="S21" s="105"/>
    </row>
    <row r="22" spans="4:19">
      <c r="D22" s="104" t="s">
        <v>60</v>
      </c>
      <c r="E22" s="104" t="s">
        <v>61</v>
      </c>
      <c r="F22" s="104" t="s">
        <v>62</v>
      </c>
      <c r="G22" s="104">
        <v>19.3</v>
      </c>
      <c r="H22" s="104">
        <v>2.66</v>
      </c>
      <c r="I22" s="104" t="s">
        <v>63</v>
      </c>
      <c r="J22" s="104">
        <v>35.5</v>
      </c>
      <c r="K22" s="104">
        <v>20.1</v>
      </c>
      <c r="L22" s="104">
        <v>15.4</v>
      </c>
      <c r="M22" s="104" t="s">
        <v>64</v>
      </c>
      <c r="N22" s="104" t="s">
        <v>65</v>
      </c>
      <c r="O22" s="104" t="s">
        <v>66</v>
      </c>
      <c r="P22" s="104">
        <v>13.6</v>
      </c>
      <c r="Q22" s="104">
        <v>39</v>
      </c>
      <c r="R22" s="104"/>
      <c r="S22" s="105"/>
    </row>
    <row r="23" spans="4:19">
      <c r="D23" s="104" t="s">
        <v>67</v>
      </c>
      <c r="E23" s="104" t="s">
        <v>68</v>
      </c>
      <c r="F23" s="104">
        <v>26.1</v>
      </c>
      <c r="G23" s="104">
        <v>19.4</v>
      </c>
      <c r="H23" s="104">
        <v>2.66</v>
      </c>
      <c r="I23" s="104">
        <v>0.729</v>
      </c>
      <c r="J23" s="104">
        <v>34.5</v>
      </c>
      <c r="K23" s="104">
        <v>19.7</v>
      </c>
      <c r="L23" s="104">
        <v>14.8</v>
      </c>
      <c r="M23" s="104">
        <v>0.43</v>
      </c>
      <c r="N23" s="104">
        <v>0.27</v>
      </c>
      <c r="O23" s="104">
        <v>6.4</v>
      </c>
      <c r="P23" s="104"/>
      <c r="Q23" s="104"/>
      <c r="R23" s="104"/>
      <c r="S23" s="105"/>
    </row>
    <row r="24" spans="4:19">
      <c r="D24" s="104" t="s">
        <v>69</v>
      </c>
      <c r="E24" s="104" t="s">
        <v>70</v>
      </c>
      <c r="F24" s="104">
        <v>33.5</v>
      </c>
      <c r="G24" s="104">
        <v>18.1</v>
      </c>
      <c r="H24" s="104">
        <v>2.68</v>
      </c>
      <c r="I24" s="104">
        <v>0.977</v>
      </c>
      <c r="J24" s="104">
        <v>45</v>
      </c>
      <c r="K24" s="104">
        <v>24.9</v>
      </c>
      <c r="L24" s="104">
        <v>20.1</v>
      </c>
      <c r="M24" s="104">
        <v>0.43</v>
      </c>
      <c r="N24" s="104">
        <v>0.27</v>
      </c>
      <c r="O24" s="104">
        <v>7.32</v>
      </c>
      <c r="P24" s="104"/>
      <c r="Q24" s="104"/>
      <c r="R24" s="104"/>
      <c r="S24" s="105"/>
    </row>
    <row r="25" spans="4:19">
      <c r="D25" s="104" t="s">
        <v>71</v>
      </c>
      <c r="E25" s="104" t="s">
        <v>72</v>
      </c>
      <c r="F25" s="104">
        <v>28.3</v>
      </c>
      <c r="G25" s="104">
        <v>19.2</v>
      </c>
      <c r="H25" s="104">
        <v>2.67</v>
      </c>
      <c r="I25" s="104">
        <v>0.784</v>
      </c>
      <c r="J25" s="104">
        <v>40.8</v>
      </c>
      <c r="K25" s="104">
        <v>22.1</v>
      </c>
      <c r="L25" s="104">
        <v>18.7</v>
      </c>
      <c r="M25" s="104">
        <v>0.33</v>
      </c>
      <c r="N25" s="104">
        <v>0.21</v>
      </c>
      <c r="O25" s="104">
        <v>8.5</v>
      </c>
      <c r="P25" s="104">
        <v>9.4</v>
      </c>
      <c r="Q25" s="104">
        <v>56</v>
      </c>
      <c r="R25" s="104"/>
      <c r="S25" s="105"/>
    </row>
    <row r="26" spans="4:19">
      <c r="D26" s="104" t="s">
        <v>73</v>
      </c>
      <c r="E26" s="104" t="s">
        <v>74</v>
      </c>
      <c r="F26" s="104">
        <v>30.6</v>
      </c>
      <c r="G26" s="104">
        <v>18.5</v>
      </c>
      <c r="H26" s="104">
        <v>2.66</v>
      </c>
      <c r="I26" s="104">
        <v>0.878</v>
      </c>
      <c r="J26" s="104">
        <v>35.8</v>
      </c>
      <c r="K26" s="104">
        <v>20.2</v>
      </c>
      <c r="L26" s="104">
        <v>15.6</v>
      </c>
      <c r="M26" s="104">
        <v>0.67</v>
      </c>
      <c r="N26" s="104">
        <v>0.47</v>
      </c>
      <c r="O26" s="104">
        <v>3.99</v>
      </c>
      <c r="P26" s="104"/>
      <c r="Q26" s="104"/>
      <c r="R26" s="104"/>
      <c r="S26" s="105"/>
    </row>
    <row r="27" spans="4:19">
      <c r="D27" s="104" t="s">
        <v>75</v>
      </c>
      <c r="E27" s="104" t="s">
        <v>72</v>
      </c>
      <c r="F27" s="104">
        <v>28.7</v>
      </c>
      <c r="G27" s="104">
        <v>19.2</v>
      </c>
      <c r="H27" s="104">
        <v>2.67</v>
      </c>
      <c r="I27" s="104">
        <v>0.79</v>
      </c>
      <c r="J27" s="104">
        <v>40.9</v>
      </c>
      <c r="K27" s="104">
        <v>22</v>
      </c>
      <c r="L27" s="104">
        <v>18.9</v>
      </c>
      <c r="M27" s="104">
        <v>0.35</v>
      </c>
      <c r="N27" s="104">
        <v>0.34</v>
      </c>
      <c r="O27" s="104">
        <v>5.26</v>
      </c>
      <c r="P27" s="104"/>
      <c r="Q27" s="104"/>
      <c r="R27" s="104"/>
      <c r="S27" s="105"/>
    </row>
    <row r="28" spans="4:19">
      <c r="D28" s="104" t="s">
        <v>76</v>
      </c>
      <c r="E28" s="104" t="s">
        <v>77</v>
      </c>
      <c r="F28" s="104">
        <v>32.8</v>
      </c>
      <c r="G28" s="104">
        <v>18.7</v>
      </c>
      <c r="H28" s="104">
        <v>2.66</v>
      </c>
      <c r="I28" s="104">
        <v>0.889</v>
      </c>
      <c r="J28" s="104">
        <v>37.5</v>
      </c>
      <c r="K28" s="104">
        <v>21.9</v>
      </c>
      <c r="L28" s="104">
        <v>15.6</v>
      </c>
      <c r="M28" s="104">
        <v>0.7</v>
      </c>
      <c r="N28" s="104">
        <v>0.46</v>
      </c>
      <c r="O28" s="104">
        <v>4.11</v>
      </c>
      <c r="P28" s="104"/>
      <c r="Q28" s="104"/>
      <c r="R28" s="104"/>
      <c r="S28" s="105"/>
    </row>
    <row r="29" spans="4:19">
      <c r="D29" s="104" t="s">
        <v>78</v>
      </c>
      <c r="E29" s="104" t="s">
        <v>79</v>
      </c>
      <c r="F29" s="104" t="s">
        <v>80</v>
      </c>
      <c r="G29" s="104" t="s">
        <v>81</v>
      </c>
      <c r="H29" s="104" t="s">
        <v>82</v>
      </c>
      <c r="I29" s="104" t="s">
        <v>83</v>
      </c>
      <c r="J29" s="104" t="s">
        <v>84</v>
      </c>
      <c r="K29" s="104">
        <v>19.1</v>
      </c>
      <c r="L29" s="104" t="s">
        <v>85</v>
      </c>
      <c r="M29" s="104" t="s">
        <v>86</v>
      </c>
      <c r="N29" s="104" t="s">
        <v>87</v>
      </c>
      <c r="O29" s="104" t="s">
        <v>88</v>
      </c>
      <c r="P29" s="104"/>
      <c r="Q29" s="104"/>
      <c r="R29" s="104"/>
      <c r="S29" s="105"/>
    </row>
    <row r="30" spans="4:19">
      <c r="D30" s="104" t="s">
        <v>89</v>
      </c>
      <c r="E30" s="104" t="s">
        <v>90</v>
      </c>
      <c r="F30" s="104" t="s">
        <v>91</v>
      </c>
      <c r="G30" s="104" t="s">
        <v>92</v>
      </c>
      <c r="H30" s="104" t="s">
        <v>93</v>
      </c>
      <c r="I30" s="104" t="s">
        <v>94</v>
      </c>
      <c r="J30" s="104" t="s">
        <v>95</v>
      </c>
      <c r="K30" s="104" t="s">
        <v>96</v>
      </c>
      <c r="L30" s="104" t="s">
        <v>97</v>
      </c>
      <c r="M30" s="104" t="s">
        <v>98</v>
      </c>
      <c r="N30" s="104" t="s">
        <v>99</v>
      </c>
      <c r="O30" s="104" t="s">
        <v>100</v>
      </c>
      <c r="P30" s="104">
        <v>6</v>
      </c>
      <c r="Q30" s="104">
        <v>24</v>
      </c>
      <c r="R30" s="104"/>
      <c r="S30" s="105"/>
    </row>
    <row r="31" spans="4:19">
      <c r="D31" s="104" t="s">
        <v>101</v>
      </c>
      <c r="E31" s="104" t="s">
        <v>41</v>
      </c>
      <c r="F31" s="104">
        <v>25.8</v>
      </c>
      <c r="G31" s="104">
        <v>18.7</v>
      </c>
      <c r="H31" s="104">
        <v>2.65</v>
      </c>
      <c r="I31" s="104">
        <v>0.783</v>
      </c>
      <c r="J31" s="104">
        <v>30.8</v>
      </c>
      <c r="K31" s="104">
        <v>18.9</v>
      </c>
      <c r="L31" s="104">
        <v>11.9</v>
      </c>
      <c r="M31" s="104">
        <v>0.58</v>
      </c>
      <c r="N31" s="104">
        <v>0.33</v>
      </c>
      <c r="O31" s="104">
        <v>5.4</v>
      </c>
      <c r="P31" s="104">
        <v>12.2</v>
      </c>
      <c r="Q31" s="104">
        <v>36</v>
      </c>
      <c r="R31" s="104"/>
      <c r="S31" s="105"/>
    </row>
    <row r="32" spans="4:19">
      <c r="D32" s="104" t="s">
        <v>102</v>
      </c>
      <c r="E32" s="104" t="s">
        <v>35</v>
      </c>
      <c r="F32" s="104">
        <v>23.9</v>
      </c>
      <c r="G32" s="104" t="s">
        <v>103</v>
      </c>
      <c r="H32" s="104">
        <v>2.66</v>
      </c>
      <c r="I32" s="104">
        <v>0.772</v>
      </c>
      <c r="J32" s="104">
        <v>37.4</v>
      </c>
      <c r="K32" s="104">
        <v>21.7</v>
      </c>
      <c r="L32" s="104">
        <v>15.7</v>
      </c>
      <c r="M32" s="104">
        <v>0.14</v>
      </c>
      <c r="N32" s="104">
        <v>0.28</v>
      </c>
      <c r="O32" s="104">
        <v>6.33</v>
      </c>
      <c r="P32" s="104"/>
      <c r="Q32" s="104"/>
      <c r="R32" s="104"/>
      <c r="S32" s="105"/>
    </row>
    <row r="33" spans="4:19">
      <c r="D33" s="104" t="s">
        <v>104</v>
      </c>
      <c r="E33" s="104" t="s">
        <v>105</v>
      </c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5"/>
    </row>
    <row r="34" spans="4:19">
      <c r="D34" s="104" t="s">
        <v>106</v>
      </c>
      <c r="E34" s="104" t="s">
        <v>35</v>
      </c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5"/>
    </row>
    <row r="35" spans="4:19">
      <c r="D35" s="104" t="s">
        <v>107</v>
      </c>
      <c r="E35" s="104" t="s">
        <v>70</v>
      </c>
      <c r="F35" s="104">
        <v>30</v>
      </c>
      <c r="G35" s="104">
        <v>18.6</v>
      </c>
      <c r="H35" s="104">
        <v>2.67</v>
      </c>
      <c r="I35" s="104">
        <v>0.866</v>
      </c>
      <c r="J35" s="104">
        <v>40.5</v>
      </c>
      <c r="K35" s="104">
        <v>22.1</v>
      </c>
      <c r="L35" s="104">
        <v>18.4</v>
      </c>
      <c r="M35" s="104">
        <v>0.43</v>
      </c>
      <c r="N35" s="104">
        <v>0.39</v>
      </c>
      <c r="O35" s="104">
        <v>4.78</v>
      </c>
      <c r="P35" s="104">
        <v>8.1</v>
      </c>
      <c r="Q35" s="104">
        <v>29</v>
      </c>
      <c r="R35" s="104"/>
      <c r="S35" s="105"/>
    </row>
    <row r="36" spans="4:19">
      <c r="D36" s="104" t="s">
        <v>108</v>
      </c>
      <c r="E36" s="104" t="s">
        <v>109</v>
      </c>
      <c r="F36" s="104">
        <v>31.5</v>
      </c>
      <c r="G36" s="104">
        <v>18.6</v>
      </c>
      <c r="H36" s="104">
        <v>2.67</v>
      </c>
      <c r="I36" s="104">
        <v>0.888</v>
      </c>
      <c r="J36" s="104">
        <v>44</v>
      </c>
      <c r="K36" s="104">
        <v>24.1</v>
      </c>
      <c r="L36" s="104">
        <v>19.9</v>
      </c>
      <c r="M36" s="104">
        <v>0.37</v>
      </c>
      <c r="N36" s="104">
        <v>0.34</v>
      </c>
      <c r="O36" s="104">
        <v>5.55</v>
      </c>
      <c r="P36" s="104"/>
      <c r="Q36" s="104"/>
      <c r="R36" s="104"/>
      <c r="S36" s="105"/>
    </row>
    <row r="37" spans="4:19">
      <c r="D37" s="104" t="s">
        <v>110</v>
      </c>
      <c r="E37" s="104" t="s">
        <v>111</v>
      </c>
      <c r="F37" s="104">
        <v>32.3</v>
      </c>
      <c r="G37" s="104">
        <v>18.3</v>
      </c>
      <c r="H37" s="104">
        <v>2.67</v>
      </c>
      <c r="I37" s="104">
        <v>0.93</v>
      </c>
      <c r="J37" s="104">
        <v>40.5</v>
      </c>
      <c r="K37" s="104">
        <v>22.6</v>
      </c>
      <c r="L37" s="104">
        <v>17.9</v>
      </c>
      <c r="M37" s="104">
        <v>0.54</v>
      </c>
      <c r="N37" s="104">
        <v>0.37</v>
      </c>
      <c r="O37" s="104">
        <v>5.22</v>
      </c>
      <c r="P37" s="104">
        <v>6.5</v>
      </c>
      <c r="Q37" s="104">
        <v>30</v>
      </c>
      <c r="R37" s="104"/>
      <c r="S37" s="105"/>
    </row>
    <row r="38" spans="4:19">
      <c r="D38" s="104" t="s">
        <v>112</v>
      </c>
      <c r="E38" s="104" t="s">
        <v>111</v>
      </c>
      <c r="F38" s="104" t="s">
        <v>113</v>
      </c>
      <c r="G38" s="104">
        <v>18.5</v>
      </c>
      <c r="H38" s="104">
        <v>2.68</v>
      </c>
      <c r="I38" s="104" t="s">
        <v>114</v>
      </c>
      <c r="J38" s="104">
        <v>48.5</v>
      </c>
      <c r="K38" s="104">
        <v>26.5</v>
      </c>
      <c r="L38" s="104">
        <v>22</v>
      </c>
      <c r="M38" s="104" t="s">
        <v>115</v>
      </c>
      <c r="N38" s="104" t="s">
        <v>116</v>
      </c>
      <c r="O38" s="104" t="s">
        <v>117</v>
      </c>
      <c r="P38" s="104"/>
      <c r="Q38" s="104"/>
      <c r="R38" s="104"/>
      <c r="S38" s="105"/>
    </row>
    <row r="39" spans="4:19">
      <c r="D39" s="104" t="s">
        <v>118</v>
      </c>
      <c r="E39" s="104" t="s">
        <v>119</v>
      </c>
      <c r="F39" s="104">
        <v>28.7</v>
      </c>
      <c r="G39" s="104">
        <v>19.2</v>
      </c>
      <c r="H39" s="104">
        <v>2.66</v>
      </c>
      <c r="I39" s="104">
        <v>0.783</v>
      </c>
      <c r="J39" s="104">
        <v>34.5</v>
      </c>
      <c r="K39" s="104">
        <v>19.7</v>
      </c>
      <c r="L39" s="104">
        <v>14.8</v>
      </c>
      <c r="M39" s="104">
        <v>0.61</v>
      </c>
      <c r="N39" s="104">
        <v>0.36</v>
      </c>
      <c r="O39" s="104">
        <v>4.95</v>
      </c>
      <c r="P39" s="104"/>
      <c r="Q39" s="104"/>
      <c r="R39" s="104"/>
      <c r="S39" s="105"/>
    </row>
    <row r="40" spans="4:19">
      <c r="D40" s="104" t="s">
        <v>120</v>
      </c>
      <c r="E40" s="104" t="s">
        <v>111</v>
      </c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5"/>
    </row>
    <row r="41" spans="4:19">
      <c r="D41" s="104" t="s">
        <v>121</v>
      </c>
      <c r="E41" s="104" t="s">
        <v>111</v>
      </c>
      <c r="F41" s="104" t="s">
        <v>122</v>
      </c>
      <c r="G41" s="104" t="s">
        <v>123</v>
      </c>
      <c r="H41" s="104">
        <v>2.68</v>
      </c>
      <c r="I41" s="104" t="s">
        <v>124</v>
      </c>
      <c r="J41" s="104">
        <v>44.9</v>
      </c>
      <c r="K41" s="104">
        <v>24.8</v>
      </c>
      <c r="L41" s="104">
        <v>20.1</v>
      </c>
      <c r="M41" s="104" t="s">
        <v>125</v>
      </c>
      <c r="N41" s="104" t="s">
        <v>126</v>
      </c>
      <c r="O41" s="104" t="s">
        <v>127</v>
      </c>
      <c r="P41" s="104"/>
      <c r="Q41" s="104"/>
      <c r="R41" s="104"/>
      <c r="S41" s="105"/>
    </row>
    <row r="42" spans="4:19">
      <c r="D42" s="104" t="s">
        <v>128</v>
      </c>
      <c r="E42" s="104" t="s">
        <v>129</v>
      </c>
      <c r="F42" s="104">
        <v>28.1</v>
      </c>
      <c r="G42" s="104">
        <v>19.2</v>
      </c>
      <c r="H42" s="104">
        <v>2.66</v>
      </c>
      <c r="I42" s="104">
        <v>0.775</v>
      </c>
      <c r="J42" s="104">
        <v>33.4</v>
      </c>
      <c r="K42" s="104">
        <v>19.2</v>
      </c>
      <c r="L42" s="104">
        <v>14.2</v>
      </c>
      <c r="M42" s="104">
        <v>0.63</v>
      </c>
      <c r="N42" s="104">
        <v>0.35</v>
      </c>
      <c r="O42" s="104">
        <v>5.07</v>
      </c>
      <c r="P42" s="104"/>
      <c r="Q42" s="104"/>
      <c r="R42" s="104"/>
      <c r="S42" s="105"/>
    </row>
    <row r="43" spans="4:19">
      <c r="D43" s="104" t="s">
        <v>130</v>
      </c>
      <c r="E43" s="104" t="s">
        <v>131</v>
      </c>
      <c r="F43" s="104" t="s">
        <v>132</v>
      </c>
      <c r="G43" s="104" t="s">
        <v>133</v>
      </c>
      <c r="H43" s="104">
        <v>2.66</v>
      </c>
      <c r="I43" s="104" t="s">
        <v>134</v>
      </c>
      <c r="J43" s="104">
        <v>37.3</v>
      </c>
      <c r="K43" s="104">
        <v>21.8</v>
      </c>
      <c r="L43" s="104">
        <v>15.5</v>
      </c>
      <c r="M43" s="104" t="s">
        <v>135</v>
      </c>
      <c r="N43" s="104"/>
      <c r="O43" s="104"/>
      <c r="P43" s="104">
        <v>15.1</v>
      </c>
      <c r="Q43" s="104">
        <v>46</v>
      </c>
      <c r="R43" s="104"/>
      <c r="S43" s="105"/>
    </row>
    <row r="44" spans="4:19">
      <c r="D44" s="104" t="s">
        <v>136</v>
      </c>
      <c r="E44" s="104" t="s">
        <v>131</v>
      </c>
      <c r="F44" s="104">
        <v>28.3</v>
      </c>
      <c r="G44" s="104">
        <v>18.4</v>
      </c>
      <c r="H44" s="104">
        <v>2.67</v>
      </c>
      <c r="I44" s="104">
        <v>0.862</v>
      </c>
      <c r="J44" s="104">
        <v>45</v>
      </c>
      <c r="K44" s="104">
        <v>25.1</v>
      </c>
      <c r="L44" s="104">
        <v>19.9</v>
      </c>
      <c r="M44" s="104">
        <v>0.16</v>
      </c>
      <c r="N44" s="104">
        <v>0.33</v>
      </c>
      <c r="O44" s="104">
        <v>5.64</v>
      </c>
      <c r="P44" s="104"/>
      <c r="Q44" s="104"/>
      <c r="R44" s="104"/>
      <c r="S44" s="105"/>
    </row>
    <row r="45" spans="4:19">
      <c r="D45" s="104" t="s">
        <v>137</v>
      </c>
      <c r="E45" s="104" t="s">
        <v>138</v>
      </c>
      <c r="F45" s="104" t="s">
        <v>139</v>
      </c>
      <c r="G45" s="104">
        <v>18.9</v>
      </c>
      <c r="H45" s="104" t="s">
        <v>93</v>
      </c>
      <c r="I45" s="104" t="s">
        <v>140</v>
      </c>
      <c r="J45" s="104" t="s">
        <v>141</v>
      </c>
      <c r="K45" s="104" t="s">
        <v>142</v>
      </c>
      <c r="L45" s="104" t="s">
        <v>143</v>
      </c>
      <c r="M45" s="104" t="s">
        <v>144</v>
      </c>
      <c r="N45" s="104" t="s">
        <v>145</v>
      </c>
      <c r="O45" s="104" t="s">
        <v>146</v>
      </c>
      <c r="P45" s="104">
        <v>9.6</v>
      </c>
      <c r="Q45" s="104">
        <v>58</v>
      </c>
      <c r="R45" s="104"/>
      <c r="S45" s="105"/>
    </row>
    <row r="46" spans="4:19">
      <c r="D46" s="104" t="s">
        <v>147</v>
      </c>
      <c r="E46" s="104" t="s">
        <v>79</v>
      </c>
      <c r="F46" s="104">
        <v>32</v>
      </c>
      <c r="G46" s="104">
        <v>19</v>
      </c>
      <c r="H46" s="104">
        <v>2.67</v>
      </c>
      <c r="I46" s="104">
        <v>0.855</v>
      </c>
      <c r="J46" s="104">
        <v>42.3</v>
      </c>
      <c r="K46" s="104">
        <v>23.5</v>
      </c>
      <c r="L46" s="104">
        <v>18.8</v>
      </c>
      <c r="M46" s="104">
        <v>0.45</v>
      </c>
      <c r="N46" s="104">
        <v>0.35</v>
      </c>
      <c r="O46" s="104">
        <v>5.3</v>
      </c>
      <c r="P46" s="104">
        <v>12.3</v>
      </c>
      <c r="Q46" s="104">
        <v>39</v>
      </c>
      <c r="R46" s="104"/>
      <c r="S46" s="105"/>
    </row>
    <row r="47" spans="4:19">
      <c r="D47" s="104" t="s">
        <v>148</v>
      </c>
      <c r="E47" s="104" t="s">
        <v>149</v>
      </c>
      <c r="F47" s="104" t="s">
        <v>150</v>
      </c>
      <c r="G47" s="104">
        <v>18.6</v>
      </c>
      <c r="H47" s="104">
        <v>2.67</v>
      </c>
      <c r="I47" s="104" t="s">
        <v>151</v>
      </c>
      <c r="J47" s="104">
        <v>39.5</v>
      </c>
      <c r="K47" s="104">
        <v>21.8</v>
      </c>
      <c r="L47" s="104">
        <v>17.7</v>
      </c>
      <c r="M47" s="104" t="s">
        <v>152</v>
      </c>
      <c r="N47" s="104" t="s">
        <v>153</v>
      </c>
      <c r="O47" s="104" t="s">
        <v>154</v>
      </c>
      <c r="P47" s="104"/>
      <c r="Q47" s="104"/>
      <c r="R47" s="104"/>
      <c r="S47" s="105"/>
    </row>
    <row r="48" spans="4:19">
      <c r="D48" s="104" t="s">
        <v>155</v>
      </c>
      <c r="E48" s="104" t="s">
        <v>156</v>
      </c>
      <c r="F48" s="104" t="s">
        <v>157</v>
      </c>
      <c r="G48" s="104"/>
      <c r="H48" s="104" t="s">
        <v>82</v>
      </c>
      <c r="I48" s="104"/>
      <c r="J48" s="104" t="s">
        <v>158</v>
      </c>
      <c r="K48" s="104" t="s">
        <v>159</v>
      </c>
      <c r="L48" s="104" t="s">
        <v>160</v>
      </c>
      <c r="M48" s="104" t="s">
        <v>161</v>
      </c>
      <c r="N48" s="104"/>
      <c r="O48" s="104"/>
      <c r="P48" s="104"/>
      <c r="Q48" s="104"/>
      <c r="R48" s="104"/>
      <c r="S48" s="105"/>
    </row>
    <row r="49" spans="4:19">
      <c r="D49" s="104" t="s">
        <v>162</v>
      </c>
      <c r="E49" s="104" t="s">
        <v>72</v>
      </c>
      <c r="F49" s="104">
        <v>31.2</v>
      </c>
      <c r="G49" s="104">
        <v>19</v>
      </c>
      <c r="H49" s="104">
        <v>2.67</v>
      </c>
      <c r="I49" s="104">
        <v>0.844</v>
      </c>
      <c r="J49" s="104">
        <v>42.3</v>
      </c>
      <c r="K49" s="104">
        <v>23.6</v>
      </c>
      <c r="L49" s="104">
        <v>18.7</v>
      </c>
      <c r="M49" s="104">
        <v>0.41</v>
      </c>
      <c r="N49" s="104">
        <v>0.31</v>
      </c>
      <c r="O49" s="104">
        <v>5.95</v>
      </c>
      <c r="P49" s="104">
        <v>8.2</v>
      </c>
      <c r="Q49" s="104">
        <v>48</v>
      </c>
      <c r="R49" s="104"/>
      <c r="S49" s="105"/>
    </row>
    <row r="50" spans="4:19">
      <c r="D50" s="104" t="s">
        <v>163</v>
      </c>
      <c r="E50" s="104" t="s">
        <v>111</v>
      </c>
      <c r="F50" s="104" t="s">
        <v>164</v>
      </c>
      <c r="G50" s="104">
        <v>19</v>
      </c>
      <c r="H50" s="104">
        <v>2.66</v>
      </c>
      <c r="I50" s="104" t="s">
        <v>165</v>
      </c>
      <c r="J50" s="104" t="s">
        <v>166</v>
      </c>
      <c r="K50" s="104" t="s">
        <v>167</v>
      </c>
      <c r="L50" s="104" t="s">
        <v>168</v>
      </c>
      <c r="M50" s="104" t="s">
        <v>169</v>
      </c>
      <c r="N50" s="104" t="s">
        <v>170</v>
      </c>
      <c r="O50" s="104" t="s">
        <v>171</v>
      </c>
      <c r="P50" s="104"/>
      <c r="Q50" s="104"/>
      <c r="R50" s="104"/>
      <c r="S50" s="105"/>
    </row>
    <row r="51" spans="4:19">
      <c r="D51" s="104" t="s">
        <v>172</v>
      </c>
      <c r="E51" s="104" t="s">
        <v>173</v>
      </c>
      <c r="F51" s="104">
        <v>30.4</v>
      </c>
      <c r="G51" s="104">
        <v>19.2</v>
      </c>
      <c r="H51" s="104">
        <v>2.66</v>
      </c>
      <c r="I51" s="104">
        <v>0.807</v>
      </c>
      <c r="J51" s="104">
        <v>35.8</v>
      </c>
      <c r="K51" s="104">
        <v>20.4</v>
      </c>
      <c r="L51" s="104">
        <v>15.4</v>
      </c>
      <c r="M51" s="104">
        <v>0.65</v>
      </c>
      <c r="N51" s="104">
        <v>0.39</v>
      </c>
      <c r="O51" s="104">
        <v>4.63</v>
      </c>
      <c r="P51" s="104">
        <v>8.8</v>
      </c>
      <c r="Q51" s="104">
        <v>28</v>
      </c>
      <c r="R51" s="104"/>
      <c r="S51" s="105"/>
    </row>
    <row r="52" spans="4:19">
      <c r="D52" s="104" t="s">
        <v>174</v>
      </c>
      <c r="E52" s="104" t="s">
        <v>111</v>
      </c>
      <c r="F52" s="104">
        <v>30.1</v>
      </c>
      <c r="G52" s="104">
        <v>19.1</v>
      </c>
      <c r="H52" s="104">
        <v>2.67</v>
      </c>
      <c r="I52" s="104">
        <v>0.819</v>
      </c>
      <c r="J52" s="104">
        <v>41.1</v>
      </c>
      <c r="K52" s="104">
        <v>22</v>
      </c>
      <c r="L52" s="104">
        <v>19.1</v>
      </c>
      <c r="M52" s="104">
        <v>0.42</v>
      </c>
      <c r="N52" s="104">
        <v>0.36</v>
      </c>
      <c r="O52" s="104">
        <v>5.05</v>
      </c>
      <c r="P52" s="104">
        <v>9.1</v>
      </c>
      <c r="Q52" s="104">
        <v>38</v>
      </c>
      <c r="R52" s="104"/>
      <c r="S52" s="105"/>
    </row>
    <row r="53" spans="4:19">
      <c r="D53" s="104" t="s">
        <v>175</v>
      </c>
      <c r="E53" s="104" t="s">
        <v>119</v>
      </c>
      <c r="F53" s="104">
        <v>33.5</v>
      </c>
      <c r="G53" s="104">
        <v>18.2</v>
      </c>
      <c r="H53" s="104">
        <v>2.67</v>
      </c>
      <c r="I53" s="104">
        <v>0.958</v>
      </c>
      <c r="J53" s="104">
        <v>42.1</v>
      </c>
      <c r="K53" s="104">
        <v>23.1</v>
      </c>
      <c r="L53" s="104">
        <v>19</v>
      </c>
      <c r="M53" s="104">
        <v>0.55</v>
      </c>
      <c r="N53" s="104">
        <v>0.43</v>
      </c>
      <c r="O53" s="104">
        <v>4.55</v>
      </c>
      <c r="P53" s="104"/>
      <c r="Q53" s="104"/>
      <c r="R53" s="104"/>
      <c r="S53" s="105"/>
    </row>
  </sheetData>
  <mergeCells count="16">
    <mergeCell ref="A1:S1"/>
    <mergeCell ref="P2:Q2"/>
    <mergeCell ref="A2:A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R2:R3"/>
    <mergeCell ref="S2:S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O8"/>
  <sheetViews>
    <sheetView workbookViewId="0">
      <selection activeCell="M3" sqref="M3"/>
    </sheetView>
  </sheetViews>
  <sheetFormatPr defaultColWidth="9" defaultRowHeight="15" outlineLevelRow="7"/>
  <cols>
    <col min="3" max="3" width="14.375" customWidth="1"/>
    <col min="5" max="5" width="13.375" customWidth="1"/>
    <col min="8" max="8" width="12.125" customWidth="1"/>
    <col min="12" max="12" width="14.875" customWidth="1"/>
    <col min="13" max="13" width="12.375" customWidth="1"/>
  </cols>
  <sheetData>
    <row r="1" spans="1:15">
      <c r="A1" s="81" t="s">
        <v>176</v>
      </c>
      <c r="B1" s="81" t="s">
        <v>177</v>
      </c>
      <c r="C1" s="81" t="s">
        <v>178</v>
      </c>
      <c r="D1" s="81" t="s">
        <v>179</v>
      </c>
      <c r="E1" s="81" t="s">
        <v>180</v>
      </c>
      <c r="F1" s="81" t="s">
        <v>181</v>
      </c>
      <c r="G1" s="81" t="s">
        <v>182</v>
      </c>
      <c r="H1" s="81" t="s">
        <v>183</v>
      </c>
      <c r="I1" s="77" t="s">
        <v>184</v>
      </c>
      <c r="J1" s="77"/>
      <c r="K1" s="77"/>
      <c r="L1" s="81" t="s">
        <v>185</v>
      </c>
      <c r="M1" s="77" t="s">
        <v>186</v>
      </c>
      <c r="N1" s="77" t="s">
        <v>187</v>
      </c>
      <c r="O1" s="82" t="s">
        <v>188</v>
      </c>
    </row>
    <row r="2" ht="54.5" spans="1:15">
      <c r="A2" s="83"/>
      <c r="B2" s="83"/>
      <c r="C2" s="83"/>
      <c r="D2" s="83"/>
      <c r="E2" s="83"/>
      <c r="F2" s="83"/>
      <c r="G2" s="83"/>
      <c r="H2" s="83"/>
      <c r="I2" s="84" t="s">
        <v>189</v>
      </c>
      <c r="J2" s="77" t="s">
        <v>190</v>
      </c>
      <c r="K2" s="77" t="s">
        <v>191</v>
      </c>
      <c r="L2" s="83"/>
      <c r="M2" s="77"/>
      <c r="N2" s="77"/>
      <c r="O2" s="85"/>
    </row>
    <row r="3" spans="1:15">
      <c r="A3" s="86">
        <v>1</v>
      </c>
      <c r="B3" s="87" t="s">
        <v>192</v>
      </c>
      <c r="C3" s="87" t="s">
        <v>193</v>
      </c>
      <c r="D3" s="87"/>
      <c r="E3" s="87"/>
      <c r="F3" s="87"/>
      <c r="G3" s="87"/>
      <c r="H3" s="87" t="s">
        <v>194</v>
      </c>
      <c r="I3" s="87">
        <v>1</v>
      </c>
      <c r="J3" s="87">
        <v>1.79</v>
      </c>
      <c r="K3" s="87">
        <v>60.26</v>
      </c>
      <c r="L3" s="88" t="str">
        <f>IF(AND(I3&lt;40,J3&lt;7),"",IF(AND(I3&lt;40,K3&lt;170),"",IF(AND(J3&lt;7,K3&lt;170),"","具膨胀性")))</f>
        <v/>
      </c>
      <c r="M3" s="89" t="str">
        <f>IF(OR(AND(I3&gt;=90,J3&gt;=27),AND(I3&gt;=90,K3&gt;=360),AND(J3&gt;=27,K3&gt;=360)),"强膨胀土",IF(OR(AND(I3&gt;=60,J3&gt;=17),AND(I3&gt;=60,K3&gt;=260),AND(J3&gt;=17,K3&gt;=260)),"中等膨胀土",IF(OR(AND(I3&gt;=40,J3&gt;=7),AND(I3&gt;=40,K3&gt;=170),AND(J3&gt;=7,K3&gt;=170)),"弱膨胀土","")))</f>
        <v/>
      </c>
      <c r="N3" s="89" t="str">
        <f>IF(I3&gt;=90,"强膨胀土",IF(I3&gt;=60,"中等膨胀土",IF(I3&gt;=40,"弱膨胀土","无膨胀性")))</f>
        <v>无膨胀性</v>
      </c>
      <c r="O3" s="86"/>
    </row>
    <row r="4" spans="1:15">
      <c r="A4" s="86"/>
      <c r="B4" s="87" t="s">
        <v>195</v>
      </c>
      <c r="C4" s="87" t="s">
        <v>196</v>
      </c>
      <c r="D4" s="87"/>
      <c r="E4" s="90"/>
      <c r="F4" s="91"/>
      <c r="G4" s="87"/>
      <c r="H4" s="87" t="s">
        <v>194</v>
      </c>
      <c r="I4" s="87">
        <v>5</v>
      </c>
      <c r="J4" s="87">
        <v>1.78</v>
      </c>
      <c r="K4" s="87">
        <v>70.42</v>
      </c>
      <c r="L4" s="92" t="str">
        <f t="shared" ref="L4:L7" si="0">IF(AND(I4&lt;40,J4&lt;7),"",IF(AND(I4&lt;40,K4&lt;170),"",IF(AND(J4&lt;7,K4&lt;170),"","具膨胀性")))</f>
        <v/>
      </c>
      <c r="M4" s="93"/>
      <c r="N4" s="89" t="str">
        <f t="shared" ref="N4:N7" si="1">IF(I4&gt;=90,"强膨胀土",IF(I4&gt;=60,"中等膨胀土",IF(I4&gt;=40,"弱膨胀土","无膨胀性")))</f>
        <v>无膨胀性</v>
      </c>
      <c r="O4" s="43"/>
    </row>
    <row r="5" spans="1:15">
      <c r="A5" s="86"/>
      <c r="B5" s="87" t="s">
        <v>197</v>
      </c>
      <c r="C5" s="87" t="s">
        <v>198</v>
      </c>
      <c r="D5" s="87"/>
      <c r="E5" s="90"/>
      <c r="F5" s="87"/>
      <c r="G5" s="94"/>
      <c r="H5" s="87" t="s">
        <v>199</v>
      </c>
      <c r="I5" s="87">
        <v>13</v>
      </c>
      <c r="J5" s="87">
        <v>1.8</v>
      </c>
      <c r="K5" s="87">
        <v>15.08</v>
      </c>
      <c r="L5" s="88" t="str">
        <f t="shared" si="0"/>
        <v/>
      </c>
      <c r="M5" s="89"/>
      <c r="N5" s="89" t="str">
        <f t="shared" si="1"/>
        <v>无膨胀性</v>
      </c>
      <c r="O5" s="43"/>
    </row>
    <row r="6" spans="1:15">
      <c r="A6" s="86"/>
      <c r="B6" s="87" t="s">
        <v>200</v>
      </c>
      <c r="C6" s="87" t="s">
        <v>201</v>
      </c>
      <c r="D6" s="87"/>
      <c r="E6" s="90"/>
      <c r="F6" s="87"/>
      <c r="G6" s="94"/>
      <c r="H6" s="87" t="s">
        <v>202</v>
      </c>
      <c r="I6" s="87">
        <v>20</v>
      </c>
      <c r="J6" s="87">
        <v>5.41</v>
      </c>
      <c r="K6" s="87">
        <v>110.46</v>
      </c>
      <c r="L6" s="88" t="str">
        <f t="shared" si="0"/>
        <v/>
      </c>
      <c r="M6" s="89"/>
      <c r="N6" s="89" t="str">
        <f t="shared" si="1"/>
        <v>无膨胀性</v>
      </c>
      <c r="O6" s="43"/>
    </row>
    <row r="7" spans="1:15">
      <c r="A7" s="86"/>
      <c r="B7" s="87" t="s">
        <v>203</v>
      </c>
      <c r="C7" s="87" t="s">
        <v>204</v>
      </c>
      <c r="D7" s="87"/>
      <c r="E7" s="88"/>
      <c r="F7" s="88"/>
      <c r="G7" s="86"/>
      <c r="H7" s="87" t="s">
        <v>205</v>
      </c>
      <c r="I7" s="87">
        <v>20</v>
      </c>
      <c r="J7" s="87">
        <v>3.55</v>
      </c>
      <c r="K7" s="87">
        <v>90.42</v>
      </c>
      <c r="L7" s="88" t="str">
        <f t="shared" si="0"/>
        <v/>
      </c>
      <c r="M7" s="89"/>
      <c r="N7" s="89" t="str">
        <f t="shared" si="1"/>
        <v>无膨胀性</v>
      </c>
      <c r="O7" s="43"/>
    </row>
    <row r="8" spans="1:15">
      <c r="L8" s="95"/>
    </row>
  </sheetData>
  <mergeCells count="13">
    <mergeCell ref="I1:K1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M1:M2"/>
    <mergeCell ref="N1:N2"/>
    <mergeCell ref="O1:O2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41"/>
  <sheetViews>
    <sheetView topLeftCell="A18" workbookViewId="0">
      <selection activeCell="A3" sqref="A3:A41"/>
    </sheetView>
  </sheetViews>
  <sheetFormatPr defaultColWidth="9" defaultRowHeight="15"/>
  <cols>
    <col min="1" max="1" width="25.625" customWidth="1"/>
  </cols>
  <sheetData>
    <row r="1" spans="1:1">
      <c r="A1" s="79" t="s">
        <v>206</v>
      </c>
    </row>
    <row r="2" spans="1:1">
      <c r="A2" s="79" t="s">
        <v>207</v>
      </c>
    </row>
    <row r="3" spans="1:1">
      <c r="A3" s="79" t="s">
        <v>208</v>
      </c>
    </row>
    <row r="4" spans="1:1">
      <c r="A4" s="79" t="s">
        <v>209</v>
      </c>
    </row>
    <row r="5" spans="1:1">
      <c r="A5" s="79" t="s">
        <v>210</v>
      </c>
    </row>
    <row r="6" spans="1:1">
      <c r="A6" s="79" t="s">
        <v>211</v>
      </c>
    </row>
    <row r="7" spans="1:1">
      <c r="A7" s="79" t="s">
        <v>212</v>
      </c>
    </row>
    <row r="8" spans="1:1">
      <c r="A8" s="79" t="s">
        <v>213</v>
      </c>
    </row>
    <row r="9" spans="1:1">
      <c r="A9" s="79" t="s">
        <v>214</v>
      </c>
    </row>
    <row r="10" spans="1:1">
      <c r="A10" t="s">
        <v>215</v>
      </c>
    </row>
    <row r="11" spans="1:1">
      <c r="A11" s="79" t="s">
        <v>216</v>
      </c>
    </row>
    <row r="12" spans="1:1">
      <c r="A12" s="79" t="s">
        <v>217</v>
      </c>
    </row>
    <row r="13" spans="1:1">
      <c r="A13" s="79" t="s">
        <v>218</v>
      </c>
    </row>
    <row r="14" spans="1:1">
      <c r="A14" s="79" t="s">
        <v>218</v>
      </c>
    </row>
    <row r="15" spans="1:1">
      <c r="A15" s="79" t="s">
        <v>219</v>
      </c>
    </row>
    <row r="16" spans="1:1">
      <c r="A16" s="79" t="s">
        <v>220</v>
      </c>
    </row>
    <row r="17" spans="1:1">
      <c r="A17" s="79" t="s">
        <v>221</v>
      </c>
    </row>
    <row r="18" spans="1:1">
      <c r="A18" s="79" t="s">
        <v>222</v>
      </c>
    </row>
    <row r="19" spans="1:1">
      <c r="A19" s="79" t="s">
        <v>223</v>
      </c>
    </row>
    <row r="20" spans="1:1">
      <c r="A20" s="79" t="s">
        <v>224</v>
      </c>
    </row>
    <row r="21" spans="1:1">
      <c r="A21" s="79" t="s">
        <v>225</v>
      </c>
    </row>
    <row r="22" spans="1:1">
      <c r="A22" s="79" t="s">
        <v>226</v>
      </c>
    </row>
    <row r="23" spans="1:1">
      <c r="A23" s="79" t="s">
        <v>227</v>
      </c>
    </row>
    <row r="24" spans="1:1">
      <c r="A24" s="79" t="s">
        <v>228</v>
      </c>
    </row>
    <row r="25" spans="1:1">
      <c r="A25" s="79" t="s">
        <v>228</v>
      </c>
    </row>
    <row r="26" spans="1:1">
      <c r="A26" s="79" t="s">
        <v>229</v>
      </c>
    </row>
    <row r="27" spans="1:1">
      <c r="A27" s="79" t="s">
        <v>229</v>
      </c>
    </row>
    <row r="28" spans="1:1">
      <c r="A28" s="79" t="s">
        <v>229</v>
      </c>
    </row>
    <row r="29" spans="1:1">
      <c r="A29" s="79" t="s">
        <v>230</v>
      </c>
    </row>
    <row r="30" spans="1:1">
      <c r="A30" s="79" t="s">
        <v>231</v>
      </c>
    </row>
    <row r="31" spans="1:1">
      <c r="A31" s="79" t="s">
        <v>232</v>
      </c>
    </row>
    <row r="32" spans="1:1">
      <c r="A32" s="80" t="s">
        <v>233</v>
      </c>
    </row>
    <row r="33" spans="1:1">
      <c r="A33" s="80" t="s">
        <v>234</v>
      </c>
    </row>
    <row r="34" spans="1:1">
      <c r="A34" s="80" t="s">
        <v>235</v>
      </c>
    </row>
    <row r="35" spans="1:1">
      <c r="A35" s="80" t="s">
        <v>236</v>
      </c>
    </row>
    <row r="36" spans="1:1">
      <c r="A36" s="80" t="s">
        <v>237</v>
      </c>
    </row>
    <row r="37" spans="1:1">
      <c r="A37" s="80" t="s">
        <v>238</v>
      </c>
    </row>
    <row r="38" spans="1:1">
      <c r="A38" s="80" t="s">
        <v>239</v>
      </c>
    </row>
    <row r="39" spans="1:1">
      <c r="A39" s="80" t="s">
        <v>240</v>
      </c>
    </row>
    <row r="40" spans="1:1">
      <c r="A40" s="80" t="s">
        <v>241</v>
      </c>
    </row>
    <row r="41" spans="1:1">
      <c r="A41" s="80" t="s">
        <v>242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K42"/>
  <sheetViews>
    <sheetView workbookViewId="0">
      <selection activeCell="A18" sqref="$A18:$XFD18"/>
    </sheetView>
  </sheetViews>
  <sheetFormatPr defaultColWidth="9" defaultRowHeight="15"/>
  <sheetData>
    <row r="2" spans="1:11">
      <c r="A2" s="63" t="s">
        <v>233</v>
      </c>
      <c r="B2" s="64">
        <v>2.2</v>
      </c>
      <c r="C2" s="64" t="s">
        <v>194</v>
      </c>
      <c r="D2" s="65"/>
      <c r="E2" s="66">
        <v>240.15</v>
      </c>
      <c r="F2" s="66">
        <v>42.0035543018336</v>
      </c>
      <c r="G2" s="23"/>
      <c r="H2" s="23"/>
      <c r="I2" s="23"/>
      <c r="J2" s="23"/>
      <c r="K2" s="67" t="s">
        <v>243</v>
      </c>
    </row>
    <row r="3" spans="1:11">
      <c r="A3" s="63" t="s">
        <v>234</v>
      </c>
      <c r="B3" s="68">
        <v>0.4</v>
      </c>
      <c r="C3" s="69" t="s">
        <v>202</v>
      </c>
      <c r="D3" s="65"/>
      <c r="E3" s="66">
        <v>240.15</v>
      </c>
      <c r="F3" s="66">
        <v>38.003215796897</v>
      </c>
      <c r="G3" s="23"/>
      <c r="H3" s="23"/>
      <c r="I3" s="23"/>
      <c r="J3" s="23"/>
      <c r="K3" s="67" t="s">
        <v>244</v>
      </c>
    </row>
    <row r="4" spans="1:11">
      <c r="A4" s="63" t="s">
        <v>235</v>
      </c>
      <c r="B4" s="70">
        <v>1.3</v>
      </c>
      <c r="C4" s="69" t="s">
        <v>202</v>
      </c>
      <c r="D4" s="65"/>
      <c r="E4" s="66">
        <v>168.105</v>
      </c>
      <c r="F4" s="66">
        <v>70.0059238363893</v>
      </c>
      <c r="G4" s="23"/>
      <c r="H4" s="23"/>
      <c r="I4" s="23"/>
      <c r="J4" s="23"/>
      <c r="K4" s="67" t="s">
        <v>245</v>
      </c>
    </row>
    <row r="5" spans="1:11">
      <c r="A5" s="63" t="s">
        <v>236</v>
      </c>
      <c r="B5" s="70">
        <v>1.3</v>
      </c>
      <c r="C5" s="69" t="s">
        <v>194</v>
      </c>
      <c r="D5" s="65"/>
      <c r="E5" s="66">
        <v>144.09</v>
      </c>
      <c r="F5" s="66">
        <v>50.0042313117066</v>
      </c>
      <c r="G5" s="23"/>
      <c r="H5" s="23"/>
      <c r="I5" s="23"/>
      <c r="J5" s="23"/>
      <c r="K5" s="67" t="s">
        <v>246</v>
      </c>
    </row>
    <row r="6" spans="1:11">
      <c r="A6" s="63" t="s">
        <v>237</v>
      </c>
      <c r="B6" s="70">
        <v>0.6</v>
      </c>
      <c r="C6" s="69" t="s">
        <v>202</v>
      </c>
      <c r="D6" s="65"/>
      <c r="E6" s="66">
        <v>144.09</v>
      </c>
      <c r="F6" s="66">
        <v>30.002538787024</v>
      </c>
      <c r="G6" s="23"/>
      <c r="H6" s="23"/>
      <c r="I6" s="23"/>
      <c r="J6" s="23"/>
      <c r="K6" s="67" t="s">
        <v>247</v>
      </c>
    </row>
    <row r="7" spans="1:11">
      <c r="A7" s="63" t="s">
        <v>238</v>
      </c>
      <c r="B7" s="70">
        <v>0.5</v>
      </c>
      <c r="C7" s="69" t="s">
        <v>202</v>
      </c>
      <c r="D7" s="65"/>
      <c r="E7" s="66">
        <v>192.119999999999</v>
      </c>
      <c r="F7" s="66">
        <v>65.0055007052186</v>
      </c>
      <c r="G7" s="23"/>
      <c r="H7" s="23"/>
      <c r="I7" s="23"/>
      <c r="J7" s="23"/>
      <c r="K7" s="67" t="s">
        <v>248</v>
      </c>
    </row>
    <row r="8" spans="1:11">
      <c r="A8" s="63" t="s">
        <v>239</v>
      </c>
      <c r="B8" s="70">
        <v>0.5</v>
      </c>
      <c r="C8" s="69" t="s">
        <v>202</v>
      </c>
      <c r="D8" s="65"/>
      <c r="E8" s="66">
        <v>192.119999999999</v>
      </c>
      <c r="F8" s="66">
        <v>50.0042313117066</v>
      </c>
      <c r="G8" s="23"/>
      <c r="H8" s="23"/>
      <c r="I8" s="23"/>
      <c r="J8" s="23"/>
      <c r="K8" s="67" t="s">
        <v>249</v>
      </c>
    </row>
    <row r="9" spans="1:11">
      <c r="A9" s="63" t="s">
        <v>240</v>
      </c>
      <c r="B9" s="70">
        <v>0.7</v>
      </c>
      <c r="C9" s="69" t="s">
        <v>202</v>
      </c>
      <c r="D9" s="65"/>
      <c r="E9" s="66">
        <v>240.15</v>
      </c>
      <c r="F9" s="66">
        <v>62.0052468265162</v>
      </c>
      <c r="G9" s="23"/>
      <c r="H9" s="23"/>
      <c r="I9" s="23"/>
      <c r="J9" s="23"/>
      <c r="K9" s="67" t="s">
        <v>250</v>
      </c>
    </row>
    <row r="10" spans="1:11">
      <c r="A10" s="63" t="s">
        <v>241</v>
      </c>
      <c r="B10" s="70">
        <v>0.6</v>
      </c>
      <c r="C10" s="69" t="s">
        <v>202</v>
      </c>
      <c r="D10" s="65"/>
      <c r="E10" s="66">
        <v>278.574</v>
      </c>
      <c r="F10" s="66">
        <v>88.0074471086037</v>
      </c>
      <c r="G10" s="23"/>
      <c r="H10" s="71"/>
      <c r="I10" s="23"/>
      <c r="J10" s="71"/>
      <c r="K10" s="67" t="s">
        <v>251</v>
      </c>
    </row>
    <row r="11" spans="1:11">
      <c r="A11" s="63" t="s">
        <v>241</v>
      </c>
      <c r="B11" s="70">
        <v>0.5</v>
      </c>
      <c r="C11" s="69" t="s">
        <v>202</v>
      </c>
      <c r="D11" s="65"/>
      <c r="E11" s="66">
        <v>153.696</v>
      </c>
      <c r="F11" s="66">
        <v>60.005077574048</v>
      </c>
      <c r="G11" s="23"/>
      <c r="H11" s="23"/>
      <c r="I11" s="23"/>
      <c r="J11" s="23"/>
      <c r="K11" s="67" t="s">
        <v>252</v>
      </c>
    </row>
    <row r="12" spans="1:11">
      <c r="A12" s="63" t="s">
        <v>242</v>
      </c>
      <c r="B12" s="70">
        <v>0.5</v>
      </c>
      <c r="C12" s="69" t="s">
        <v>202</v>
      </c>
      <c r="D12" s="65"/>
      <c r="E12" s="66">
        <v>230.544</v>
      </c>
      <c r="F12" s="66">
        <v>60.005077574048</v>
      </c>
      <c r="G12" s="23"/>
      <c r="H12" s="23"/>
      <c r="I12" s="23"/>
      <c r="J12" s="23"/>
      <c r="K12" s="67" t="s">
        <v>253</v>
      </c>
    </row>
    <row r="13" spans="1:11">
      <c r="A13" s="63" t="s">
        <v>242</v>
      </c>
      <c r="B13" s="70">
        <v>0.6</v>
      </c>
      <c r="C13" s="69" t="s">
        <v>202</v>
      </c>
      <c r="D13" s="65"/>
      <c r="E13" s="66">
        <v>201.726</v>
      </c>
      <c r="F13" s="66">
        <v>60.005077574048</v>
      </c>
      <c r="G13" s="72"/>
      <c r="H13" s="72"/>
      <c r="I13" s="73"/>
      <c r="J13" s="73"/>
      <c r="K13" s="67" t="s">
        <v>254</v>
      </c>
    </row>
    <row r="14" spans="1:11">
      <c r="A14" s="74" t="s">
        <v>208</v>
      </c>
      <c r="B14" s="70">
        <v>1.4</v>
      </c>
      <c r="C14" s="69" t="s">
        <v>202</v>
      </c>
      <c r="D14" s="65" t="s">
        <v>255</v>
      </c>
      <c r="E14" s="66">
        <v>144.09</v>
      </c>
      <c r="F14" s="66">
        <v>80.0067700987306</v>
      </c>
      <c r="G14" s="23" t="str">
        <f t="shared" ref="G14:G16" si="0">IF(AND(D14="强"),"/",IF(AND(E14&gt;=1500,E14&lt;=6000),"H1",IF(AND(E14&gt;6000,E14&lt;=15000),"H2",IF(AND(E14&gt;15000),"H3","无"))))</f>
        <v>无</v>
      </c>
      <c r="H14" s="23" t="str">
        <f t="shared" ref="H14:H16" si="1">IF(AND(D14="弱"),"/",IF(AND(E14&gt;=300,E14&lt;=1500),"H1",IF(AND(E14&gt;1500,E14&lt;=6000),"H2",IF(AND(E14&gt;6000,E14&lt;=15000),"H3",IF(E14&gt;15000,"H4","无")))))</f>
        <v>/</v>
      </c>
      <c r="I14" s="23" t="str">
        <f t="shared" ref="I14:I16" si="2">IF(AND(F14&gt;=150,F14&lt;=750),"L1",IF(AND(F14&gt;750,F14&lt;=7500),"L2",IF(F14&gt;7500,"L3","无")))</f>
        <v>无</v>
      </c>
      <c r="J14" s="23" t="str">
        <f t="shared" ref="J14:J16" si="3">IF(AND(E14&gt;=300,E14&lt;=750),"Y1",IF(AND(E14&gt;750,E14&lt;=3000),"Y2",IF(AND(E14&gt;3000,E14&lt;=7500),"Y3",IF(E14&gt;7500,"Y4","无"))))</f>
        <v>无</v>
      </c>
      <c r="K14" s="75" t="s">
        <v>256</v>
      </c>
    </row>
    <row r="15" spans="1:11">
      <c r="A15" s="74" t="s">
        <v>209</v>
      </c>
      <c r="B15" s="68">
        <v>0.3</v>
      </c>
      <c r="C15" s="69" t="s">
        <v>257</v>
      </c>
      <c r="D15" s="65" t="s">
        <v>258</v>
      </c>
      <c r="E15" s="66">
        <v>144.09</v>
      </c>
      <c r="F15" s="66">
        <v>30.002538787024</v>
      </c>
      <c r="G15" s="23" t="str">
        <f t="shared" si="0"/>
        <v>/</v>
      </c>
      <c r="H15" s="23" t="str">
        <f t="shared" si="1"/>
        <v>无</v>
      </c>
      <c r="I15" s="23" t="str">
        <f t="shared" si="2"/>
        <v>无</v>
      </c>
      <c r="J15" s="23" t="str">
        <f t="shared" si="3"/>
        <v>无</v>
      </c>
      <c r="K15" s="75" t="s">
        <v>259</v>
      </c>
    </row>
    <row r="16" spans="1:11">
      <c r="A16" s="74" t="s">
        <v>210</v>
      </c>
      <c r="B16" s="68">
        <v>0.8</v>
      </c>
      <c r="C16" s="69" t="s">
        <v>202</v>
      </c>
      <c r="D16" s="65" t="s">
        <v>255</v>
      </c>
      <c r="E16" s="66">
        <v>177.711</v>
      </c>
      <c r="F16" s="66">
        <v>78.0066008462623</v>
      </c>
      <c r="G16" s="23" t="str">
        <f t="shared" si="0"/>
        <v>无</v>
      </c>
      <c r="H16" s="23" t="str">
        <f t="shared" si="1"/>
        <v>/</v>
      </c>
      <c r="I16" s="23" t="str">
        <f t="shared" si="2"/>
        <v>无</v>
      </c>
      <c r="J16" s="23" t="str">
        <f t="shared" si="3"/>
        <v>无</v>
      </c>
      <c r="K16" s="75" t="s">
        <v>260</v>
      </c>
    </row>
    <row r="17" spans="1:11">
      <c r="A17" s="74" t="s">
        <v>232</v>
      </c>
      <c r="B17" s="68">
        <v>1.9</v>
      </c>
      <c r="C17" s="69" t="s">
        <v>202</v>
      </c>
      <c r="D17" s="65"/>
      <c r="E17" s="66">
        <v>326.604</v>
      </c>
      <c r="F17" s="66">
        <v>48.0040620592384</v>
      </c>
      <c r="G17" s="23"/>
      <c r="H17" s="23"/>
      <c r="I17" s="23"/>
      <c r="J17" s="23"/>
      <c r="K17" s="67" t="s">
        <v>261</v>
      </c>
    </row>
    <row r="18" spans="1:11">
      <c r="A18" s="74" t="s">
        <v>211</v>
      </c>
      <c r="B18" s="68">
        <v>1.5</v>
      </c>
      <c r="C18" s="69" t="s">
        <v>202</v>
      </c>
      <c r="D18" s="65" t="s">
        <v>255</v>
      </c>
      <c r="E18" s="66">
        <v>129.681</v>
      </c>
      <c r="F18" s="66">
        <v>50.0042313117066</v>
      </c>
      <c r="G18" s="23" t="str">
        <f t="shared" ref="G18:G31" si="4">IF(AND(D18="强"),"/",IF(AND(E18&gt;=1500,E18&lt;=6000),"H1",IF(AND(E18&gt;6000,E18&lt;=15000),"H2",IF(AND(E18&gt;15000),"H3","无"))))</f>
        <v>无</v>
      </c>
      <c r="H18" s="23" t="str">
        <f t="shared" ref="H18:H31" si="5">IF(AND(D18="弱"),"/",IF(AND(E18&gt;=300,E18&lt;=1500),"H1",IF(AND(E18&gt;1500,E18&lt;=6000),"H2",IF(AND(E18&gt;6000,E18&lt;=15000),"H3",IF(E18&gt;15000,"H4","无")))))</f>
        <v>/</v>
      </c>
      <c r="I18" s="23" t="str">
        <f t="shared" ref="I18:I31" si="6">IF(AND(F18&gt;=150,F18&lt;=750),"L1",IF(AND(F18&gt;750,F18&lt;=7500),"L2",IF(F18&gt;7500,"L3","无")))</f>
        <v>无</v>
      </c>
      <c r="J18" s="23" t="str">
        <f t="shared" ref="J18:J31" si="7">IF(AND(E18&gt;=300,E18&lt;=750),"Y1",IF(AND(E18&gt;750,E18&lt;=3000),"Y2",IF(AND(E18&gt;3000,E18&lt;=7500),"Y3",IF(E18&gt;7500,"Y4","无"))))</f>
        <v>无</v>
      </c>
      <c r="K18" s="75" t="s">
        <v>262</v>
      </c>
    </row>
    <row r="19" spans="1:11">
      <c r="A19" s="74" t="s">
        <v>212</v>
      </c>
      <c r="B19" s="68">
        <v>2</v>
      </c>
      <c r="C19" s="69" t="s">
        <v>202</v>
      </c>
      <c r="D19" s="65" t="s">
        <v>255</v>
      </c>
      <c r="E19" s="69">
        <v>144.089999999999</v>
      </c>
      <c r="F19" s="66">
        <v>48.0040620592384</v>
      </c>
      <c r="G19" s="23" t="str">
        <f t="shared" si="4"/>
        <v>无</v>
      </c>
      <c r="H19" s="23" t="str">
        <f t="shared" si="5"/>
        <v>/</v>
      </c>
      <c r="I19" s="23" t="str">
        <f t="shared" si="6"/>
        <v>无</v>
      </c>
      <c r="J19" s="23" t="str">
        <f t="shared" si="7"/>
        <v>无</v>
      </c>
      <c r="K19" s="75" t="s">
        <v>263</v>
      </c>
    </row>
    <row r="20" spans="1:11">
      <c r="A20" s="74" t="s">
        <v>216</v>
      </c>
      <c r="B20" s="68">
        <v>0.5</v>
      </c>
      <c r="C20" s="69" t="s">
        <v>202</v>
      </c>
      <c r="D20" s="65" t="s">
        <v>255</v>
      </c>
      <c r="E20" s="66">
        <v>264.165</v>
      </c>
      <c r="F20" s="66">
        <v>35.0029619181946</v>
      </c>
      <c r="G20" s="23" t="str">
        <f t="shared" si="4"/>
        <v>无</v>
      </c>
      <c r="H20" s="23" t="str">
        <f t="shared" si="5"/>
        <v>/</v>
      </c>
      <c r="I20" s="23" t="str">
        <f t="shared" si="6"/>
        <v>无</v>
      </c>
      <c r="J20" s="23" t="str">
        <f t="shared" si="7"/>
        <v>无</v>
      </c>
      <c r="K20" s="75" t="s">
        <v>264</v>
      </c>
    </row>
    <row r="21" spans="1:11">
      <c r="A21" s="74" t="s">
        <v>213</v>
      </c>
      <c r="B21" s="68">
        <v>0.4</v>
      </c>
      <c r="C21" s="69" t="s">
        <v>202</v>
      </c>
      <c r="D21" s="65" t="s">
        <v>255</v>
      </c>
      <c r="E21" s="66">
        <v>192.12</v>
      </c>
      <c r="F21" s="66">
        <v>40.0033850493653</v>
      </c>
      <c r="G21" s="23" t="str">
        <f t="shared" si="4"/>
        <v>无</v>
      </c>
      <c r="H21" s="23" t="str">
        <f t="shared" si="5"/>
        <v>/</v>
      </c>
      <c r="I21" s="23" t="str">
        <f t="shared" si="6"/>
        <v>无</v>
      </c>
      <c r="J21" s="23" t="str">
        <f t="shared" si="7"/>
        <v>无</v>
      </c>
      <c r="K21" s="75" t="s">
        <v>265</v>
      </c>
    </row>
    <row r="22" spans="1:11">
      <c r="A22" s="74" t="s">
        <v>214</v>
      </c>
      <c r="B22" s="68">
        <v>0.5</v>
      </c>
      <c r="C22" s="69" t="s">
        <v>202</v>
      </c>
      <c r="D22" s="65" t="s">
        <v>255</v>
      </c>
      <c r="E22" s="66">
        <v>120.075</v>
      </c>
      <c r="F22" s="66">
        <v>40.0033850493653</v>
      </c>
      <c r="G22" s="23" t="str">
        <f t="shared" si="4"/>
        <v>无</v>
      </c>
      <c r="H22" s="23" t="str">
        <f t="shared" si="5"/>
        <v>/</v>
      </c>
      <c r="I22" s="23" t="str">
        <f t="shared" si="6"/>
        <v>无</v>
      </c>
      <c r="J22" s="23" t="str">
        <f t="shared" si="7"/>
        <v>无</v>
      </c>
      <c r="K22" s="75" t="s">
        <v>266</v>
      </c>
    </row>
    <row r="23" spans="1:11">
      <c r="A23" s="74" t="s">
        <v>217</v>
      </c>
      <c r="B23" s="64">
        <v>1.5</v>
      </c>
      <c r="C23" s="64" t="s">
        <v>202</v>
      </c>
      <c r="D23" s="65" t="s">
        <v>255</v>
      </c>
      <c r="E23" s="66">
        <v>288.180000000001</v>
      </c>
      <c r="F23" s="66">
        <v>48.0040620592384</v>
      </c>
      <c r="G23" s="23" t="str">
        <f t="shared" si="4"/>
        <v>无</v>
      </c>
      <c r="H23" s="23" t="str">
        <f t="shared" si="5"/>
        <v>/</v>
      </c>
      <c r="I23" s="23" t="str">
        <f t="shared" si="6"/>
        <v>无</v>
      </c>
      <c r="J23" s="23" t="str">
        <f t="shared" si="7"/>
        <v>无</v>
      </c>
      <c r="K23" s="67" t="s">
        <v>267</v>
      </c>
    </row>
    <row r="24" spans="1:11">
      <c r="A24" s="74" t="s">
        <v>218</v>
      </c>
      <c r="B24" s="68">
        <v>0.6</v>
      </c>
      <c r="C24" s="69" t="s">
        <v>268</v>
      </c>
      <c r="D24" s="65" t="s">
        <v>258</v>
      </c>
      <c r="E24" s="66">
        <v>96.0600000000005</v>
      </c>
      <c r="F24" s="66">
        <v>32.0027080394922</v>
      </c>
      <c r="G24" s="23" t="str">
        <f t="shared" si="4"/>
        <v>/</v>
      </c>
      <c r="H24" s="23" t="str">
        <f t="shared" si="5"/>
        <v>无</v>
      </c>
      <c r="I24" s="23" t="str">
        <f t="shared" si="6"/>
        <v>无</v>
      </c>
      <c r="J24" s="23" t="str">
        <f t="shared" si="7"/>
        <v>无</v>
      </c>
      <c r="K24" s="67" t="s">
        <v>269</v>
      </c>
    </row>
    <row r="25" spans="1:11">
      <c r="A25" s="74" t="s">
        <v>218</v>
      </c>
      <c r="B25" s="68">
        <v>1.3</v>
      </c>
      <c r="C25" s="69" t="s">
        <v>202</v>
      </c>
      <c r="D25" s="65" t="s">
        <v>255</v>
      </c>
      <c r="E25" s="66">
        <v>192.119999999999</v>
      </c>
      <c r="F25" s="66">
        <v>38.003215796897</v>
      </c>
      <c r="G25" s="23" t="str">
        <f t="shared" si="4"/>
        <v>无</v>
      </c>
      <c r="H25" s="23" t="str">
        <f t="shared" si="5"/>
        <v>/</v>
      </c>
      <c r="I25" s="23" t="str">
        <f t="shared" si="6"/>
        <v>无</v>
      </c>
      <c r="J25" s="23" t="str">
        <f t="shared" si="7"/>
        <v>无</v>
      </c>
      <c r="K25" s="67" t="s">
        <v>270</v>
      </c>
    </row>
    <row r="26" spans="1:11">
      <c r="A26" s="74" t="s">
        <v>219</v>
      </c>
      <c r="B26" s="68">
        <v>1</v>
      </c>
      <c r="C26" s="69" t="s">
        <v>268</v>
      </c>
      <c r="D26" s="65" t="s">
        <v>258</v>
      </c>
      <c r="E26" s="66">
        <v>336.21</v>
      </c>
      <c r="F26" s="66">
        <v>32.0027080394922</v>
      </c>
      <c r="G26" s="23" t="str">
        <f t="shared" si="4"/>
        <v>/</v>
      </c>
      <c r="H26" s="23" t="str">
        <f t="shared" si="5"/>
        <v>H1</v>
      </c>
      <c r="I26" s="23" t="str">
        <f t="shared" si="6"/>
        <v>无</v>
      </c>
      <c r="J26" s="23" t="str">
        <f t="shared" si="7"/>
        <v>Y1</v>
      </c>
      <c r="K26" s="67" t="s">
        <v>271</v>
      </c>
    </row>
    <row r="27" spans="1:11">
      <c r="A27" s="74" t="s">
        <v>220</v>
      </c>
      <c r="B27" s="68">
        <v>2.8</v>
      </c>
      <c r="C27" s="69" t="s">
        <v>202</v>
      </c>
      <c r="D27" s="65" t="s">
        <v>255</v>
      </c>
      <c r="E27" s="66">
        <v>192.12</v>
      </c>
      <c r="F27" s="66">
        <v>48.0040620592384</v>
      </c>
      <c r="G27" s="23" t="str">
        <f t="shared" si="4"/>
        <v>无</v>
      </c>
      <c r="H27" s="23" t="str">
        <f t="shared" si="5"/>
        <v>/</v>
      </c>
      <c r="I27" s="23" t="str">
        <f t="shared" si="6"/>
        <v>无</v>
      </c>
      <c r="J27" s="23" t="str">
        <f t="shared" si="7"/>
        <v>无</v>
      </c>
      <c r="K27" s="67" t="s">
        <v>272</v>
      </c>
    </row>
    <row r="28" spans="1:11">
      <c r="A28" s="74" t="s">
        <v>221</v>
      </c>
      <c r="B28" s="68">
        <v>1.2</v>
      </c>
      <c r="C28" s="69" t="s">
        <v>202</v>
      </c>
      <c r="D28" s="65" t="s">
        <v>255</v>
      </c>
      <c r="E28" s="66">
        <v>432.269999999999</v>
      </c>
      <c r="F28" s="66">
        <v>38.003215796897</v>
      </c>
      <c r="G28" s="23" t="str">
        <f t="shared" si="4"/>
        <v>无</v>
      </c>
      <c r="H28" s="23" t="str">
        <f t="shared" si="5"/>
        <v>/</v>
      </c>
      <c r="I28" s="23" t="str">
        <f t="shared" si="6"/>
        <v>无</v>
      </c>
      <c r="J28" s="23" t="str">
        <f t="shared" si="7"/>
        <v>Y1</v>
      </c>
      <c r="K28" s="67" t="s">
        <v>273</v>
      </c>
    </row>
    <row r="29" ht="26" spans="1:11">
      <c r="A29" s="74" t="s">
        <v>222</v>
      </c>
      <c r="B29" s="68">
        <v>1.7</v>
      </c>
      <c r="C29" s="69" t="s">
        <v>274</v>
      </c>
      <c r="D29" s="65" t="s">
        <v>255</v>
      </c>
      <c r="E29" s="66">
        <v>946.191</v>
      </c>
      <c r="F29" s="66">
        <v>58.0049083215797</v>
      </c>
      <c r="G29" s="23" t="str">
        <f t="shared" si="4"/>
        <v>无</v>
      </c>
      <c r="H29" s="23" t="str">
        <f t="shared" si="5"/>
        <v>/</v>
      </c>
      <c r="I29" s="23" t="str">
        <f t="shared" si="6"/>
        <v>无</v>
      </c>
      <c r="J29" s="23" t="str">
        <f t="shared" si="7"/>
        <v>Y2</v>
      </c>
      <c r="K29" s="67" t="s">
        <v>275</v>
      </c>
    </row>
    <row r="30" spans="1:11">
      <c r="A30" s="76" t="s">
        <v>215</v>
      </c>
      <c r="B30" s="68">
        <v>0.4</v>
      </c>
      <c r="C30" s="69" t="s">
        <v>202</v>
      </c>
      <c r="D30" s="65" t="s">
        <v>255</v>
      </c>
      <c r="E30" s="66">
        <v>249.756</v>
      </c>
      <c r="F30" s="66">
        <v>70.0059238363893</v>
      </c>
      <c r="G30" s="23" t="str">
        <f t="shared" si="4"/>
        <v>无</v>
      </c>
      <c r="H30" s="23" t="str">
        <f t="shared" si="5"/>
        <v>/</v>
      </c>
      <c r="I30" s="23" t="str">
        <f t="shared" si="6"/>
        <v>无</v>
      </c>
      <c r="J30" s="23" t="str">
        <f t="shared" si="7"/>
        <v>无</v>
      </c>
      <c r="K30" s="75" t="s">
        <v>276</v>
      </c>
    </row>
    <row r="31" spans="1:11">
      <c r="A31" s="77" t="s">
        <v>223</v>
      </c>
      <c r="B31" s="68">
        <v>0.7</v>
      </c>
      <c r="C31" s="69" t="s">
        <v>202</v>
      </c>
      <c r="D31" s="65" t="s">
        <v>255</v>
      </c>
      <c r="E31" s="66">
        <v>264.165</v>
      </c>
      <c r="F31" s="66">
        <v>32.0027080394922</v>
      </c>
      <c r="G31" s="23" t="str">
        <f t="shared" si="4"/>
        <v>无</v>
      </c>
      <c r="H31" s="23" t="str">
        <f t="shared" si="5"/>
        <v>/</v>
      </c>
      <c r="I31" s="23" t="str">
        <f t="shared" si="6"/>
        <v>无</v>
      </c>
      <c r="J31" s="23" t="str">
        <f t="shared" si="7"/>
        <v>无</v>
      </c>
      <c r="K31" s="67" t="s">
        <v>277</v>
      </c>
    </row>
    <row r="32" spans="1:11">
      <c r="A32" s="77" t="s">
        <v>231</v>
      </c>
      <c r="B32" s="68">
        <v>4.5</v>
      </c>
      <c r="C32" s="69" t="s">
        <v>202</v>
      </c>
      <c r="D32" s="77"/>
      <c r="E32" s="66">
        <v>144.089999999999</v>
      </c>
      <c r="F32" s="66">
        <v>150.01269393512</v>
      </c>
      <c r="G32" s="23"/>
      <c r="H32" s="23"/>
      <c r="I32" s="23"/>
      <c r="J32" s="23"/>
      <c r="K32" s="67" t="s">
        <v>278</v>
      </c>
    </row>
    <row r="33" spans="1:11">
      <c r="A33" s="77" t="s">
        <v>230</v>
      </c>
      <c r="B33" s="68">
        <v>2.8</v>
      </c>
      <c r="C33" s="69" t="s">
        <v>202</v>
      </c>
      <c r="D33" s="65"/>
      <c r="E33" s="66">
        <v>110.469</v>
      </c>
      <c r="F33" s="66">
        <v>142.012016925247</v>
      </c>
      <c r="G33" s="23" t="str">
        <f t="shared" ref="G33:G42" si="8">IF(AND(D33="强"),"/",IF(AND(E33&gt;=1500,E33&lt;=6000),"H1",IF(AND(E33&gt;6000,E33&lt;=15000),"H2",IF(AND(E33&gt;15000),"H3","无"))))</f>
        <v>无</v>
      </c>
      <c r="H33" s="23" t="str">
        <f t="shared" ref="H33:H42" si="9">IF(AND(D33="弱"),"/",IF(AND(E33&gt;=300,E33&lt;=1500),"H1",IF(AND(E33&gt;1500,E33&lt;=6000),"H2",IF(AND(E33&gt;6000,E33&lt;=15000),"H3",IF(E33&gt;15000,"H4","无")))))</f>
        <v>无</v>
      </c>
      <c r="I33" s="23" t="str">
        <f t="shared" ref="I33:I42" si="10">IF(AND(F33&gt;=150,F33&lt;=750),"L1",IF(AND(F33&gt;750,F33&lt;=7500),"L2",IF(F33&gt;7500,"L3","无")))</f>
        <v>无</v>
      </c>
      <c r="J33" s="23" t="str">
        <f t="shared" ref="J33:J42" si="11">IF(AND(E33&gt;=300,E33&lt;=750),"Y1",IF(AND(E33&gt;750,E33&lt;=3000),"Y2",IF(AND(E33&gt;3000,E33&lt;=7500),"Y3",IF(E33&gt;7500,"Y4","无"))))</f>
        <v>无</v>
      </c>
      <c r="K33" s="67" t="s">
        <v>279</v>
      </c>
    </row>
    <row r="34" spans="1:11">
      <c r="A34" s="77" t="s">
        <v>229</v>
      </c>
      <c r="B34" s="78">
        <v>0.8</v>
      </c>
      <c r="C34" s="69" t="s">
        <v>202</v>
      </c>
      <c r="D34" s="65"/>
      <c r="E34" s="66">
        <v>264.165</v>
      </c>
      <c r="F34" s="66">
        <v>42.0035543018336</v>
      </c>
      <c r="G34" s="23" t="str">
        <f t="shared" si="8"/>
        <v>无</v>
      </c>
      <c r="H34" s="23" t="str">
        <f t="shared" si="9"/>
        <v>无</v>
      </c>
      <c r="I34" s="23" t="str">
        <f t="shared" si="10"/>
        <v>无</v>
      </c>
      <c r="J34" s="23" t="str">
        <f t="shared" si="11"/>
        <v>无</v>
      </c>
      <c r="K34" s="67" t="s">
        <v>280</v>
      </c>
    </row>
    <row r="35" spans="1:11">
      <c r="A35" s="77" t="s">
        <v>229</v>
      </c>
      <c r="B35" s="78">
        <v>4.3</v>
      </c>
      <c r="C35" s="69" t="s">
        <v>202</v>
      </c>
      <c r="D35" s="65"/>
      <c r="E35" s="66">
        <v>153.696</v>
      </c>
      <c r="F35" s="66">
        <v>138.01167842031</v>
      </c>
      <c r="G35" s="23" t="str">
        <f t="shared" si="8"/>
        <v>无</v>
      </c>
      <c r="H35" s="23" t="str">
        <f t="shared" si="9"/>
        <v>无</v>
      </c>
      <c r="I35" s="23" t="str">
        <f t="shared" si="10"/>
        <v>无</v>
      </c>
      <c r="J35" s="23" t="str">
        <f t="shared" si="11"/>
        <v>无</v>
      </c>
      <c r="K35" s="67" t="s">
        <v>281</v>
      </c>
    </row>
    <row r="36" spans="1:11">
      <c r="A36" s="77" t="s">
        <v>229</v>
      </c>
      <c r="B36" s="78">
        <v>0.8</v>
      </c>
      <c r="C36" s="69" t="s">
        <v>202</v>
      </c>
      <c r="D36" s="65"/>
      <c r="E36" s="66">
        <v>259.362</v>
      </c>
      <c r="F36" s="66">
        <v>42.0035543018336</v>
      </c>
      <c r="G36" s="23" t="str">
        <f t="shared" si="8"/>
        <v>无</v>
      </c>
      <c r="H36" s="23" t="str">
        <f t="shared" si="9"/>
        <v>无</v>
      </c>
      <c r="I36" s="23" t="str">
        <f t="shared" si="10"/>
        <v>无</v>
      </c>
      <c r="J36" s="23" t="str">
        <f t="shared" si="11"/>
        <v>无</v>
      </c>
      <c r="K36" s="67" t="s">
        <v>282</v>
      </c>
    </row>
    <row r="37" spans="1:11">
      <c r="A37" s="77" t="s">
        <v>228</v>
      </c>
      <c r="B37" s="78">
        <v>1.7</v>
      </c>
      <c r="C37" s="69" t="s">
        <v>202</v>
      </c>
      <c r="D37" s="65"/>
      <c r="E37" s="66">
        <v>240.15</v>
      </c>
      <c r="F37" s="66">
        <v>48.0040620592384</v>
      </c>
      <c r="G37" s="23" t="str">
        <f t="shared" si="8"/>
        <v>无</v>
      </c>
      <c r="H37" s="23" t="str">
        <f t="shared" si="9"/>
        <v>无</v>
      </c>
      <c r="I37" s="23" t="str">
        <f t="shared" si="10"/>
        <v>无</v>
      </c>
      <c r="J37" s="23" t="str">
        <f t="shared" si="11"/>
        <v>无</v>
      </c>
      <c r="K37" s="67" t="s">
        <v>283</v>
      </c>
    </row>
    <row r="38" spans="1:11">
      <c r="A38" s="77" t="s">
        <v>228</v>
      </c>
      <c r="B38" s="78">
        <v>1.5</v>
      </c>
      <c r="C38" s="69" t="s">
        <v>202</v>
      </c>
      <c r="D38" s="65"/>
      <c r="E38" s="66">
        <v>192.12</v>
      </c>
      <c r="F38" s="66">
        <v>60.005077574048</v>
      </c>
      <c r="G38" s="23" t="str">
        <f t="shared" si="8"/>
        <v>无</v>
      </c>
      <c r="H38" s="23" t="str">
        <f t="shared" si="9"/>
        <v>无</v>
      </c>
      <c r="I38" s="23" t="str">
        <f t="shared" si="10"/>
        <v>无</v>
      </c>
      <c r="J38" s="23" t="str">
        <f t="shared" si="11"/>
        <v>无</v>
      </c>
      <c r="K38" s="67" t="s">
        <v>284</v>
      </c>
    </row>
    <row r="39" spans="1:11">
      <c r="A39" s="77" t="s">
        <v>227</v>
      </c>
      <c r="B39" s="78">
        <v>0.3</v>
      </c>
      <c r="C39" s="69" t="s">
        <v>285</v>
      </c>
      <c r="D39" s="65"/>
      <c r="E39" s="66">
        <v>408.255000000001</v>
      </c>
      <c r="F39" s="66">
        <v>52.0044005641749</v>
      </c>
      <c r="G39" s="23" t="str">
        <f t="shared" si="8"/>
        <v>无</v>
      </c>
      <c r="H39" s="23" t="str">
        <f t="shared" si="9"/>
        <v>H1</v>
      </c>
      <c r="I39" s="23" t="str">
        <f t="shared" si="10"/>
        <v>无</v>
      </c>
      <c r="J39" s="23" t="str">
        <f t="shared" si="11"/>
        <v>Y1</v>
      </c>
      <c r="K39" s="67" t="s">
        <v>286</v>
      </c>
    </row>
    <row r="40" spans="1:11">
      <c r="A40" s="77" t="s">
        <v>226</v>
      </c>
      <c r="B40" s="78">
        <v>0.8</v>
      </c>
      <c r="C40" s="69" t="s">
        <v>202</v>
      </c>
      <c r="D40" s="65"/>
      <c r="E40" s="66">
        <v>240.15</v>
      </c>
      <c r="F40" s="66">
        <v>52.0044005641749</v>
      </c>
      <c r="G40" s="23" t="str">
        <f t="shared" si="8"/>
        <v>无</v>
      </c>
      <c r="H40" s="23" t="str">
        <f t="shared" si="9"/>
        <v>无</v>
      </c>
      <c r="I40" s="23" t="str">
        <f t="shared" si="10"/>
        <v>无</v>
      </c>
      <c r="J40" s="23" t="str">
        <f t="shared" si="11"/>
        <v>无</v>
      </c>
      <c r="K40" s="67" t="s">
        <v>287</v>
      </c>
    </row>
    <row r="41" spans="1:11">
      <c r="A41" s="77" t="s">
        <v>225</v>
      </c>
      <c r="B41" s="78">
        <v>0.4</v>
      </c>
      <c r="C41" s="69" t="s">
        <v>202</v>
      </c>
      <c r="D41" s="65" t="s">
        <v>255</v>
      </c>
      <c r="E41" s="66">
        <v>336.21</v>
      </c>
      <c r="F41" s="66">
        <v>38.003215796897</v>
      </c>
      <c r="G41" s="23" t="str">
        <f t="shared" si="8"/>
        <v>无</v>
      </c>
      <c r="H41" s="23" t="str">
        <f t="shared" si="9"/>
        <v>/</v>
      </c>
      <c r="I41" s="23" t="str">
        <f t="shared" si="10"/>
        <v>无</v>
      </c>
      <c r="J41" s="23" t="str">
        <f t="shared" si="11"/>
        <v>Y1</v>
      </c>
      <c r="K41" s="67" t="s">
        <v>288</v>
      </c>
    </row>
    <row r="42" spans="1:11">
      <c r="A42" s="77" t="s">
        <v>224</v>
      </c>
      <c r="B42" s="68">
        <v>0.2</v>
      </c>
      <c r="C42" s="69" t="s">
        <v>285</v>
      </c>
      <c r="D42" s="65" t="s">
        <v>258</v>
      </c>
      <c r="E42" s="66">
        <v>264.165</v>
      </c>
      <c r="F42" s="66">
        <v>32.0027080394922</v>
      </c>
      <c r="G42" s="23" t="str">
        <f t="shared" si="8"/>
        <v>/</v>
      </c>
      <c r="H42" s="23" t="str">
        <f t="shared" si="9"/>
        <v>无</v>
      </c>
      <c r="I42" s="23" t="str">
        <f t="shared" si="10"/>
        <v>无</v>
      </c>
      <c r="J42" s="23" t="str">
        <f t="shared" si="11"/>
        <v>无</v>
      </c>
      <c r="K42" s="67" t="s">
        <v>289</v>
      </c>
    </row>
  </sheetData>
  <sortState ref="A2:K41">
    <sortCondition ref="A2"/>
  </sortState>
  <dataValidations count="1">
    <dataValidation type="list" allowBlank="1" showInputMessage="1" showErrorMessage="1" sqref="D2:D28 D30:D42">
      <formula1>"强,弱"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81"/>
  <sheetViews>
    <sheetView workbookViewId="0">
      <selection activeCell="K81" sqref="K1:K81"/>
    </sheetView>
  </sheetViews>
  <sheetFormatPr defaultColWidth="9" defaultRowHeight="15"/>
  <cols>
    <col min="1" max="1" width="13.375" customWidth="1"/>
    <col min="2" max="2" width="16.125" customWidth="1"/>
    <col min="3" max="3" width="13.375" customWidth="1"/>
    <col min="6" max="6" width="9.375"/>
    <col min="8" max="8" width="12.625"/>
  </cols>
  <sheetData>
    <row r="1" spans="1:11">
      <c r="A1" s="33" t="s">
        <v>233</v>
      </c>
      <c r="B1" s="15">
        <v>294961.8271</v>
      </c>
      <c r="C1" s="34">
        <v>1.9</v>
      </c>
      <c r="D1" s="35" t="s">
        <v>290</v>
      </c>
      <c r="E1" s="36" t="s">
        <v>291</v>
      </c>
      <c r="F1" s="37">
        <v>49.9512</v>
      </c>
      <c r="G1" s="37">
        <v>4.3776</v>
      </c>
      <c r="H1" s="37">
        <v>22.0018617771509</v>
      </c>
      <c r="I1" s="38">
        <v>8</v>
      </c>
      <c r="J1" s="39">
        <v>0</v>
      </c>
      <c r="K1" s="40" t="s">
        <v>292</v>
      </c>
    </row>
    <row r="2" spans="1:11">
      <c r="A2" s="33" t="s">
        <v>234</v>
      </c>
      <c r="B2" s="15">
        <v>295946.151259361</v>
      </c>
      <c r="C2" s="34">
        <v>6.24806707722216</v>
      </c>
      <c r="D2" s="35" t="s">
        <v>290</v>
      </c>
      <c r="E2" s="36" t="s">
        <v>291</v>
      </c>
      <c r="F2" s="37">
        <v>67.2420000000001</v>
      </c>
      <c r="G2" s="37">
        <v>6.5664</v>
      </c>
      <c r="H2" s="37">
        <v>21.0017771509168</v>
      </c>
      <c r="I2" s="38">
        <v>8</v>
      </c>
      <c r="J2" s="39">
        <v>0</v>
      </c>
      <c r="K2" s="40" t="s">
        <v>293</v>
      </c>
    </row>
    <row r="3" spans="1:11">
      <c r="A3" s="33" t="s">
        <v>294</v>
      </c>
      <c r="B3" s="15">
        <v>297832.740656585</v>
      </c>
      <c r="C3" s="34">
        <v>-14.598863170819</v>
      </c>
      <c r="D3" s="41"/>
      <c r="E3" s="36" t="s">
        <v>295</v>
      </c>
      <c r="F3" s="37">
        <v>38.424</v>
      </c>
      <c r="G3" s="37">
        <v>2.432</v>
      </c>
      <c r="H3" s="37">
        <v>18.401557122708</v>
      </c>
      <c r="I3" s="38">
        <v>8</v>
      </c>
      <c r="J3" s="39">
        <v>0</v>
      </c>
      <c r="K3" s="40" t="s">
        <v>296</v>
      </c>
    </row>
    <row r="4" spans="1:11">
      <c r="A4" s="33" t="s">
        <v>235</v>
      </c>
      <c r="B4" s="15">
        <v>299560.797798396</v>
      </c>
      <c r="C4" s="34">
        <v>-36.7135528806951</v>
      </c>
      <c r="D4" s="42" t="s">
        <v>297</v>
      </c>
      <c r="E4" s="43" t="s">
        <v>291</v>
      </c>
      <c r="F4" s="43">
        <v>189.7185</v>
      </c>
      <c r="G4" s="43">
        <v>38.912</v>
      </c>
      <c r="H4" s="43">
        <v>53.6045359661495</v>
      </c>
      <c r="I4" s="44">
        <v>7.6</v>
      </c>
      <c r="J4" s="45">
        <v>0</v>
      </c>
      <c r="K4" s="40" t="s">
        <v>298</v>
      </c>
    </row>
    <row r="5" spans="1:11">
      <c r="A5" s="33" t="s">
        <v>236</v>
      </c>
      <c r="B5" s="15">
        <v>301442.299430987</v>
      </c>
      <c r="C5" s="34">
        <v>-5.62464872311546</v>
      </c>
      <c r="D5" s="46" t="s">
        <v>299</v>
      </c>
      <c r="E5" s="36" t="s">
        <v>291</v>
      </c>
      <c r="F5" s="37">
        <v>31.6998</v>
      </c>
      <c r="G5" s="37">
        <v>32.832</v>
      </c>
      <c r="H5" s="37">
        <v>72.0060930888576</v>
      </c>
      <c r="I5" s="47">
        <v>7.5</v>
      </c>
      <c r="J5" s="37">
        <v>0</v>
      </c>
      <c r="K5" s="40" t="s">
        <v>300</v>
      </c>
    </row>
    <row r="6" spans="1:11">
      <c r="A6" s="33" t="s">
        <v>237</v>
      </c>
      <c r="B6" s="15">
        <v>303461.788681922</v>
      </c>
      <c r="C6" s="34">
        <v>-3.41135376369442</v>
      </c>
      <c r="D6" s="46" t="s">
        <v>299</v>
      </c>
      <c r="E6" s="36" t="s">
        <v>291</v>
      </c>
      <c r="F6" s="37">
        <v>38.424</v>
      </c>
      <c r="G6" s="37">
        <v>35.9936</v>
      </c>
      <c r="H6" s="37">
        <v>70.4059576868829</v>
      </c>
      <c r="I6" s="47">
        <v>7.5</v>
      </c>
      <c r="J6" s="37">
        <v>0</v>
      </c>
      <c r="K6" s="40" t="s">
        <v>301</v>
      </c>
    </row>
    <row r="7" spans="1:11">
      <c r="A7" s="33" t="s">
        <v>302</v>
      </c>
      <c r="B7" s="15">
        <v>305100.999549476</v>
      </c>
      <c r="C7" s="34">
        <v>33.5653492408701</v>
      </c>
      <c r="D7" s="46" t="s">
        <v>303</v>
      </c>
      <c r="E7" s="36" t="s">
        <v>291</v>
      </c>
      <c r="F7" s="37">
        <v>50.9117999999999</v>
      </c>
      <c r="G7" s="43">
        <v>31.616</v>
      </c>
      <c r="H7" s="43">
        <v>18.401557122708</v>
      </c>
      <c r="I7" s="43">
        <v>7.6</v>
      </c>
      <c r="J7" s="43">
        <v>0</v>
      </c>
      <c r="K7" s="40" t="s">
        <v>304</v>
      </c>
    </row>
    <row r="8" spans="1:11">
      <c r="A8" s="33" t="s">
        <v>305</v>
      </c>
      <c r="B8" s="15">
        <v>306040.412820408</v>
      </c>
      <c r="C8" s="34">
        <v>-5.85493815969417</v>
      </c>
      <c r="D8" s="48" t="s">
        <v>299</v>
      </c>
      <c r="E8" s="36" t="s">
        <v>291</v>
      </c>
      <c r="F8" s="49">
        <v>180.5928</v>
      </c>
      <c r="G8" s="49">
        <v>34.048</v>
      </c>
      <c r="H8" s="49">
        <v>51.6043667136812</v>
      </c>
      <c r="I8" s="50">
        <v>7.5</v>
      </c>
      <c r="J8" s="21">
        <v>0</v>
      </c>
      <c r="K8" s="40" t="s">
        <v>306</v>
      </c>
    </row>
    <row r="9" spans="1:11">
      <c r="A9" s="33" t="s">
        <v>238</v>
      </c>
      <c r="B9" s="15">
        <v>307720.765359497</v>
      </c>
      <c r="C9" s="34">
        <v>70.9001431160267</v>
      </c>
      <c r="D9" s="48" t="s">
        <v>307</v>
      </c>
      <c r="E9" s="36" t="s">
        <v>291</v>
      </c>
      <c r="F9" s="49">
        <v>161.3808</v>
      </c>
      <c r="G9" s="49">
        <v>34.048</v>
      </c>
      <c r="H9" s="49">
        <v>52.4044344146686</v>
      </c>
      <c r="I9" s="50">
        <v>7.6</v>
      </c>
      <c r="J9" s="21">
        <v>0</v>
      </c>
      <c r="K9" s="40" t="s">
        <v>308</v>
      </c>
    </row>
    <row r="10" spans="1:11">
      <c r="A10" s="33" t="s">
        <v>239</v>
      </c>
      <c r="B10" s="15">
        <v>309671.587227978</v>
      </c>
      <c r="C10" s="34">
        <v>5.61554178834161</v>
      </c>
      <c r="D10" s="48" t="s">
        <v>290</v>
      </c>
      <c r="E10" s="36" t="s">
        <v>291</v>
      </c>
      <c r="F10" s="49">
        <v>120.075</v>
      </c>
      <c r="G10" s="49">
        <v>29.184</v>
      </c>
      <c r="H10" s="49">
        <v>50.4042651622003</v>
      </c>
      <c r="I10" s="50">
        <v>7.5</v>
      </c>
      <c r="J10" s="21">
        <v>0</v>
      </c>
      <c r="K10" s="40" t="s">
        <v>309</v>
      </c>
    </row>
    <row r="11" spans="1:11">
      <c r="A11" s="33" t="s">
        <v>310</v>
      </c>
      <c r="B11" s="15">
        <v>311421.927638319</v>
      </c>
      <c r="C11" s="34">
        <v>-71.6673939053562</v>
      </c>
      <c r="D11" s="46" t="s">
        <v>311</v>
      </c>
      <c r="E11" s="36" t="s">
        <v>291</v>
      </c>
      <c r="F11" s="49">
        <v>111.4296</v>
      </c>
      <c r="G11" s="49">
        <v>28.6976</v>
      </c>
      <c r="H11" s="49">
        <v>53.6045359661495</v>
      </c>
      <c r="I11" s="50">
        <v>7.5</v>
      </c>
      <c r="J11" s="51">
        <v>0</v>
      </c>
      <c r="K11" s="40" t="s">
        <v>312</v>
      </c>
    </row>
    <row r="12" spans="1:11">
      <c r="A12" s="33" t="s">
        <v>240</v>
      </c>
      <c r="B12" s="15">
        <v>313380.148264864</v>
      </c>
      <c r="C12" s="34">
        <v>-6.84631697798946</v>
      </c>
      <c r="D12" s="46" t="s">
        <v>307</v>
      </c>
      <c r="E12" s="36" t="s">
        <v>291</v>
      </c>
      <c r="F12" s="37">
        <v>73.0056</v>
      </c>
      <c r="G12" s="37">
        <v>23.8336</v>
      </c>
      <c r="H12" s="37">
        <v>19.601658674189</v>
      </c>
      <c r="I12" s="47">
        <v>7.8</v>
      </c>
      <c r="J12" s="37">
        <v>0</v>
      </c>
      <c r="K12" s="40" t="s">
        <v>313</v>
      </c>
    </row>
    <row r="13" spans="1:11">
      <c r="A13" s="33" t="s">
        <v>241</v>
      </c>
      <c r="B13" s="15">
        <v>314868.798299986</v>
      </c>
      <c r="C13" s="34">
        <v>-155.605111737828</v>
      </c>
      <c r="D13" s="46" t="s">
        <v>290</v>
      </c>
      <c r="E13" s="36" t="s">
        <v>291</v>
      </c>
      <c r="F13" s="37">
        <v>44.1875999999999</v>
      </c>
      <c r="G13" s="37">
        <v>5.5936</v>
      </c>
      <c r="H13" s="37">
        <v>19.601658674189</v>
      </c>
      <c r="I13" s="47">
        <v>7.8</v>
      </c>
      <c r="J13" s="37">
        <v>0</v>
      </c>
      <c r="K13" s="40" t="s">
        <v>314</v>
      </c>
    </row>
    <row r="14" spans="1:11">
      <c r="A14" s="33" t="s">
        <v>242</v>
      </c>
      <c r="B14" s="15">
        <v>315652.070120236</v>
      </c>
      <c r="C14" s="34">
        <v>-150.413172298168</v>
      </c>
      <c r="D14" s="52" t="s">
        <v>303</v>
      </c>
      <c r="E14" s="36" t="s">
        <v>291</v>
      </c>
      <c r="F14" s="37">
        <v>167.6247</v>
      </c>
      <c r="G14" s="37">
        <v>34.5344</v>
      </c>
      <c r="H14" s="37">
        <v>52.0044005641749</v>
      </c>
      <c r="I14" s="47">
        <v>7.5</v>
      </c>
      <c r="J14" s="37">
        <v>0</v>
      </c>
      <c r="K14" s="40" t="s">
        <v>315</v>
      </c>
    </row>
    <row r="15" spans="1:11">
      <c r="A15" s="33" t="s">
        <v>316</v>
      </c>
      <c r="B15" s="15">
        <v>317146.627021539</v>
      </c>
      <c r="C15" s="34">
        <v>73.271979482085</v>
      </c>
      <c r="D15" s="48" t="s">
        <v>317</v>
      </c>
      <c r="E15" s="36" t="s">
        <v>291</v>
      </c>
      <c r="F15" s="49">
        <v>69.1632000000001</v>
      </c>
      <c r="G15" s="49">
        <v>32.1024</v>
      </c>
      <c r="H15" s="49">
        <v>36.4030803949224</v>
      </c>
      <c r="I15" s="50">
        <v>7.3</v>
      </c>
      <c r="J15" s="21">
        <v>0</v>
      </c>
      <c r="K15" s="40" t="s">
        <v>318</v>
      </c>
    </row>
    <row r="16" spans="1:11">
      <c r="A16" s="33" t="s">
        <v>319</v>
      </c>
      <c r="B16" s="15">
        <v>319246.618256206</v>
      </c>
      <c r="C16" s="34">
        <v>96.4196047628482</v>
      </c>
      <c r="D16" s="46" t="s">
        <v>299</v>
      </c>
      <c r="E16" s="36" t="s">
        <v>291</v>
      </c>
      <c r="F16" s="37">
        <v>12.4878000000001</v>
      </c>
      <c r="G16" s="37">
        <v>27.968</v>
      </c>
      <c r="H16" s="37">
        <v>29.6025049365303</v>
      </c>
      <c r="I16" s="47">
        <v>7.6</v>
      </c>
      <c r="J16" s="37">
        <v>0</v>
      </c>
      <c r="K16" s="40" t="s">
        <v>320</v>
      </c>
    </row>
    <row r="17" spans="1:11">
      <c r="A17" s="33" t="s">
        <v>321</v>
      </c>
      <c r="B17" s="15">
        <v>320777.082948575</v>
      </c>
      <c r="C17" s="34">
        <v>-52.9723451844488</v>
      </c>
      <c r="D17" s="46" t="s">
        <v>297</v>
      </c>
      <c r="E17" s="36" t="s">
        <v>291</v>
      </c>
      <c r="F17" s="37">
        <v>65.3208</v>
      </c>
      <c r="G17" s="43">
        <v>6.8096</v>
      </c>
      <c r="H17" s="43">
        <v>21.6018279266573</v>
      </c>
      <c r="I17" s="43">
        <v>7.8</v>
      </c>
      <c r="J17" s="43">
        <v>0</v>
      </c>
      <c r="K17" s="40" t="s">
        <v>322</v>
      </c>
    </row>
    <row r="18" spans="1:11">
      <c r="A18" s="33" t="s">
        <v>323</v>
      </c>
      <c r="B18" s="15">
        <v>321791.488452506</v>
      </c>
      <c r="C18" s="34">
        <v>-10.7286306731276</v>
      </c>
      <c r="D18" s="53" t="s">
        <v>297</v>
      </c>
      <c r="E18" s="23" t="s">
        <v>291</v>
      </c>
      <c r="F18" s="14">
        <v>84.5328000000001</v>
      </c>
      <c r="G18" s="14">
        <v>2.9184</v>
      </c>
      <c r="H18" s="14">
        <v>24.4020648801128</v>
      </c>
      <c r="I18" s="14">
        <v>8</v>
      </c>
      <c r="J18" s="14">
        <v>0</v>
      </c>
      <c r="K18" s="40" t="s">
        <v>324</v>
      </c>
    </row>
    <row r="19" spans="1:11">
      <c r="A19" s="33" t="s">
        <v>325</v>
      </c>
      <c r="B19" s="15">
        <v>323782.042182505</v>
      </c>
      <c r="C19" s="34">
        <v>-63.5714157248549</v>
      </c>
      <c r="D19" s="53" t="s">
        <v>297</v>
      </c>
      <c r="E19" s="23" t="s">
        <v>291</v>
      </c>
      <c r="F19" s="14">
        <v>132.5628</v>
      </c>
      <c r="G19" s="14">
        <v>16.5376</v>
      </c>
      <c r="H19" s="14">
        <v>101.608598025388</v>
      </c>
      <c r="I19" s="14">
        <v>7.5</v>
      </c>
      <c r="J19" s="14">
        <v>0</v>
      </c>
      <c r="K19" s="40" t="s">
        <v>326</v>
      </c>
    </row>
    <row r="20" spans="1:11">
      <c r="A20" s="33" t="s">
        <v>327</v>
      </c>
      <c r="B20" s="15">
        <v>325797.402309503</v>
      </c>
      <c r="C20" s="34">
        <v>-4.80780247968072</v>
      </c>
      <c r="D20" s="46" t="s">
        <v>297</v>
      </c>
      <c r="E20" s="36" t="s">
        <v>291</v>
      </c>
      <c r="F20" s="37">
        <v>117.1932</v>
      </c>
      <c r="G20" s="37">
        <v>45.4784</v>
      </c>
      <c r="H20" s="37">
        <v>34.4029111424542</v>
      </c>
      <c r="I20" s="47">
        <v>7.5</v>
      </c>
      <c r="J20" s="37">
        <v>0</v>
      </c>
      <c r="K20" s="40" t="s">
        <v>328</v>
      </c>
    </row>
    <row r="21" spans="1:11">
      <c r="A21" s="33" t="s">
        <v>329</v>
      </c>
      <c r="B21" s="15">
        <v>327797.920588739</v>
      </c>
      <c r="C21" s="34">
        <v>3.35521548277055</v>
      </c>
      <c r="D21" s="53" t="s">
        <v>297</v>
      </c>
      <c r="E21" s="23" t="s">
        <v>291</v>
      </c>
      <c r="F21" s="14">
        <v>115.272</v>
      </c>
      <c r="G21" s="14">
        <v>16.5376</v>
      </c>
      <c r="H21" s="14">
        <v>103.608767277856</v>
      </c>
      <c r="I21" s="14">
        <v>7.5</v>
      </c>
      <c r="J21" s="14">
        <v>0</v>
      </c>
      <c r="K21" s="40" t="s">
        <v>330</v>
      </c>
    </row>
    <row r="22" spans="1:11">
      <c r="A22" s="33" t="s">
        <v>331</v>
      </c>
      <c r="B22" s="15">
        <v>329802.292987197</v>
      </c>
      <c r="C22" s="34">
        <v>-28.4230066683062</v>
      </c>
      <c r="D22" s="46" t="s">
        <v>297</v>
      </c>
      <c r="E22" s="36" t="s">
        <v>291</v>
      </c>
      <c r="F22" s="37">
        <v>80.6903999999998</v>
      </c>
      <c r="G22" s="37">
        <v>56.4224</v>
      </c>
      <c r="H22" s="37">
        <v>50.4042651622003</v>
      </c>
      <c r="I22" s="47">
        <v>7.2</v>
      </c>
      <c r="J22" s="37">
        <v>1.09999999999998</v>
      </c>
      <c r="K22" s="40" t="s">
        <v>332</v>
      </c>
    </row>
    <row r="23" spans="1:11">
      <c r="A23" s="33" t="s">
        <v>333</v>
      </c>
      <c r="B23" s="15">
        <v>331799.324704014</v>
      </c>
      <c r="C23" s="34">
        <v>3.18227568610411</v>
      </c>
      <c r="D23" s="53" t="s">
        <v>297</v>
      </c>
      <c r="E23" s="23" t="s">
        <v>291</v>
      </c>
      <c r="F23" s="14">
        <v>129.681</v>
      </c>
      <c r="G23" s="14">
        <v>20.672</v>
      </c>
      <c r="H23" s="14">
        <v>104.00880112835</v>
      </c>
      <c r="I23" s="14">
        <v>7.5</v>
      </c>
      <c r="J23" s="14">
        <v>0</v>
      </c>
      <c r="K23" s="40" t="s">
        <v>334</v>
      </c>
    </row>
    <row r="24" spans="1:11">
      <c r="A24" s="33" t="s">
        <v>335</v>
      </c>
      <c r="B24" s="15">
        <v>333627.229944636</v>
      </c>
      <c r="C24" s="34">
        <v>-24.360218503583</v>
      </c>
      <c r="D24" s="53" t="s">
        <v>297</v>
      </c>
      <c r="E24" s="23" t="s">
        <v>291</v>
      </c>
      <c r="F24" s="23">
        <v>141.2082</v>
      </c>
      <c r="G24" s="23">
        <v>19.9424</v>
      </c>
      <c r="H24" s="23">
        <v>104.00880112835</v>
      </c>
      <c r="I24" s="23">
        <v>7.6</v>
      </c>
      <c r="J24" s="23">
        <v>0</v>
      </c>
      <c r="K24" s="40" t="s">
        <v>336</v>
      </c>
    </row>
    <row r="25" spans="1:11">
      <c r="A25" s="33" t="s">
        <v>337</v>
      </c>
      <c r="B25" s="15">
        <v>335750.87681984</v>
      </c>
      <c r="C25" s="34">
        <v>-10.1885231154764</v>
      </c>
      <c r="D25" s="53" t="s">
        <v>297</v>
      </c>
      <c r="E25" s="23" t="s">
        <v>291</v>
      </c>
      <c r="F25" s="23">
        <v>113.3508</v>
      </c>
      <c r="G25" s="23">
        <v>14.1056</v>
      </c>
      <c r="H25" s="23">
        <v>104.00880112835</v>
      </c>
      <c r="I25" s="23">
        <v>7.5</v>
      </c>
      <c r="J25" s="23">
        <v>0</v>
      </c>
      <c r="K25" s="40" t="s">
        <v>338</v>
      </c>
    </row>
    <row r="26" spans="1:11">
      <c r="A26" s="33" t="s">
        <v>339</v>
      </c>
      <c r="B26" s="15">
        <v>339759.492539515</v>
      </c>
      <c r="C26" s="34">
        <v>-2.88311221529426</v>
      </c>
      <c r="D26" s="53" t="s">
        <v>340</v>
      </c>
      <c r="E26" s="23" t="s">
        <v>291</v>
      </c>
      <c r="F26" s="23">
        <v>89.3358</v>
      </c>
      <c r="G26" s="23">
        <v>20.1856</v>
      </c>
      <c r="H26" s="23">
        <v>88.0074471086037</v>
      </c>
      <c r="I26" s="23">
        <v>7.6</v>
      </c>
      <c r="J26" s="23">
        <v>0</v>
      </c>
      <c r="K26" s="40" t="s">
        <v>341</v>
      </c>
    </row>
    <row r="27" spans="1:11">
      <c r="A27" s="33" t="s">
        <v>342</v>
      </c>
      <c r="B27" s="15">
        <v>341485.104390503</v>
      </c>
      <c r="C27" s="34">
        <v>-16.9179574718759</v>
      </c>
      <c r="D27" s="53" t="s">
        <v>343</v>
      </c>
      <c r="E27" s="23" t="s">
        <v>291</v>
      </c>
      <c r="F27" s="23">
        <v>88.3752</v>
      </c>
      <c r="G27" s="23">
        <v>12.6464</v>
      </c>
      <c r="H27" s="23">
        <v>21.6018279266573</v>
      </c>
      <c r="I27" s="23">
        <v>7.9</v>
      </c>
      <c r="J27" s="23">
        <v>0</v>
      </c>
      <c r="K27" s="40" t="s">
        <v>344</v>
      </c>
    </row>
    <row r="28" spans="1:11">
      <c r="A28" s="33" t="s">
        <v>345</v>
      </c>
      <c r="B28" s="15">
        <v>342349.461671354</v>
      </c>
      <c r="C28" s="34">
        <v>-15.1249841295399</v>
      </c>
      <c r="D28" s="53" t="s">
        <v>346</v>
      </c>
      <c r="E28" s="23" t="s">
        <v>291</v>
      </c>
      <c r="F28" s="23">
        <v>61.4784000000001</v>
      </c>
      <c r="G28" s="23">
        <v>6.5664</v>
      </c>
      <c r="H28" s="23">
        <v>24.4020648801128</v>
      </c>
      <c r="I28" s="23">
        <v>7.8</v>
      </c>
      <c r="J28" s="23">
        <v>0</v>
      </c>
      <c r="K28" s="40" t="s">
        <v>347</v>
      </c>
    </row>
    <row r="29" spans="1:11">
      <c r="A29" s="33" t="s">
        <v>348</v>
      </c>
      <c r="B29" s="15">
        <v>343125.115483478</v>
      </c>
      <c r="C29" s="34">
        <v>-0.492722319428499</v>
      </c>
      <c r="D29" s="43" t="s">
        <v>349</v>
      </c>
      <c r="E29" s="43" t="s">
        <v>291</v>
      </c>
      <c r="F29" s="43">
        <v>97.9812</v>
      </c>
      <c r="G29" s="43">
        <v>12.6464</v>
      </c>
      <c r="H29" s="43">
        <v>22.0018617771509</v>
      </c>
      <c r="I29" s="43">
        <v>7.8</v>
      </c>
      <c r="J29" s="43">
        <v>0</v>
      </c>
      <c r="K29" s="40" t="s">
        <v>350</v>
      </c>
    </row>
    <row r="30" spans="1:11">
      <c r="A30" s="33" t="s">
        <v>351</v>
      </c>
      <c r="B30" s="15">
        <v>344921.037048332</v>
      </c>
      <c r="C30" s="34">
        <v>-18.9771518726494</v>
      </c>
      <c r="D30" s="53" t="s">
        <v>340</v>
      </c>
      <c r="E30" s="23" t="s">
        <v>291</v>
      </c>
      <c r="F30" s="23">
        <v>76.8480000000001</v>
      </c>
      <c r="G30" s="23">
        <v>12.8896</v>
      </c>
      <c r="H30" s="23">
        <v>49.604197461213</v>
      </c>
      <c r="I30" s="23">
        <v>7.8</v>
      </c>
      <c r="J30" s="23">
        <v>0</v>
      </c>
      <c r="K30" s="40" t="s">
        <v>352</v>
      </c>
    </row>
    <row r="31" spans="1:11">
      <c r="A31" s="33" t="s">
        <v>353</v>
      </c>
      <c r="B31" s="15">
        <v>346851.381537724</v>
      </c>
      <c r="C31" s="34">
        <v>87.1125630694544</v>
      </c>
      <c r="D31" s="53" t="s">
        <v>297</v>
      </c>
      <c r="E31" s="23" t="s">
        <v>291</v>
      </c>
      <c r="F31" s="36">
        <v>113.3508</v>
      </c>
      <c r="G31" s="36">
        <v>9.2416</v>
      </c>
      <c r="H31" s="36">
        <v>102.408665726375</v>
      </c>
      <c r="I31" s="23">
        <v>7.6</v>
      </c>
      <c r="J31" s="36">
        <v>0</v>
      </c>
      <c r="K31" s="40" t="s">
        <v>354</v>
      </c>
    </row>
    <row r="32" spans="1:11">
      <c r="A32" s="33" t="s">
        <v>355</v>
      </c>
      <c r="B32" s="15">
        <v>348935.817653343</v>
      </c>
      <c r="C32" s="34">
        <v>16.4484743618925</v>
      </c>
      <c r="D32" s="53" t="s">
        <v>297</v>
      </c>
      <c r="E32" s="23" t="s">
        <v>291</v>
      </c>
      <c r="F32" s="36">
        <v>113.3508</v>
      </c>
      <c r="G32" s="36">
        <v>17.024</v>
      </c>
      <c r="H32" s="36">
        <v>49.604197461213</v>
      </c>
      <c r="I32" s="23">
        <v>7.4</v>
      </c>
      <c r="J32" s="36">
        <v>5.5</v>
      </c>
      <c r="K32" s="40" t="s">
        <v>356</v>
      </c>
    </row>
    <row r="33" spans="1:11">
      <c r="A33" s="33" t="s">
        <v>357</v>
      </c>
      <c r="B33" s="15">
        <v>350940.936644455</v>
      </c>
      <c r="C33" s="34">
        <v>29.999848192027</v>
      </c>
      <c r="D33" s="53" t="s">
        <v>297</v>
      </c>
      <c r="E33" s="23" t="s">
        <v>291</v>
      </c>
      <c r="F33" s="43">
        <v>103.7448</v>
      </c>
      <c r="G33" s="43">
        <v>4.3776</v>
      </c>
      <c r="H33" s="43">
        <v>22.4018956276446</v>
      </c>
      <c r="I33" s="43">
        <v>7.9</v>
      </c>
      <c r="J33" s="43">
        <v>0</v>
      </c>
      <c r="K33" s="40" t="s">
        <v>358</v>
      </c>
    </row>
    <row r="34" spans="1:11">
      <c r="A34" s="33" t="s">
        <v>359</v>
      </c>
      <c r="B34" s="15">
        <v>352863.108846285</v>
      </c>
      <c r="C34" s="34">
        <v>6.54226438804153</v>
      </c>
      <c r="D34" s="43" t="s">
        <v>360</v>
      </c>
      <c r="E34" s="43" t="s">
        <v>291</v>
      </c>
      <c r="F34" s="40">
        <v>86.4539999999999</v>
      </c>
      <c r="G34" s="40">
        <v>7.7824</v>
      </c>
      <c r="H34" s="40">
        <v>37.6031819464034</v>
      </c>
      <c r="I34" s="40">
        <v>7.6</v>
      </c>
      <c r="J34" s="40">
        <v>0</v>
      </c>
      <c r="K34" s="40" t="s">
        <v>361</v>
      </c>
    </row>
    <row r="35" spans="1:11">
      <c r="A35" s="33" t="s">
        <v>362</v>
      </c>
      <c r="B35" s="15">
        <v>354831.081489429</v>
      </c>
      <c r="C35" s="34">
        <v>15.0556937378696</v>
      </c>
      <c r="D35" s="53" t="s">
        <v>363</v>
      </c>
      <c r="E35" s="23" t="s">
        <v>291</v>
      </c>
      <c r="F35" s="36">
        <v>40.3452000000002</v>
      </c>
      <c r="G35" s="36">
        <v>4.1344</v>
      </c>
      <c r="H35" s="36">
        <v>21.6018279266573</v>
      </c>
      <c r="I35" s="23">
        <v>7.8</v>
      </c>
      <c r="J35" s="36">
        <v>0</v>
      </c>
      <c r="K35" s="40" t="s">
        <v>364</v>
      </c>
    </row>
    <row r="36" spans="1:11">
      <c r="A36" s="33" t="s">
        <v>365</v>
      </c>
      <c r="B36" s="15">
        <v>356894.010278578</v>
      </c>
      <c r="C36" s="34">
        <v>-41.0335691641221</v>
      </c>
      <c r="D36" s="53" t="s">
        <v>297</v>
      </c>
      <c r="E36" s="23" t="s">
        <v>291</v>
      </c>
      <c r="F36" s="36">
        <v>38.424</v>
      </c>
      <c r="G36" s="36">
        <v>7.7824</v>
      </c>
      <c r="H36" s="36">
        <v>28.4024033850494</v>
      </c>
      <c r="I36" s="23">
        <v>8.9</v>
      </c>
      <c r="J36" s="36">
        <v>0</v>
      </c>
      <c r="K36" s="40" t="s">
        <v>366</v>
      </c>
    </row>
    <row r="37" spans="1:11">
      <c r="A37" s="33" t="s">
        <v>367</v>
      </c>
      <c r="B37" s="15">
        <v>359019.729547165</v>
      </c>
      <c r="C37" s="34">
        <v>-10.6216710802291</v>
      </c>
      <c r="D37" s="23" t="s">
        <v>368</v>
      </c>
      <c r="E37" s="23" t="s">
        <v>291</v>
      </c>
      <c r="F37" s="36">
        <v>124.878</v>
      </c>
      <c r="G37" s="36">
        <v>21.888</v>
      </c>
      <c r="H37" s="36">
        <v>35.0029619181946</v>
      </c>
      <c r="I37" s="23">
        <v>7.2</v>
      </c>
      <c r="J37" s="36">
        <v>3.96000000000001</v>
      </c>
      <c r="K37" s="40" t="s">
        <v>369</v>
      </c>
    </row>
    <row r="38" spans="1:11">
      <c r="A38" s="33" t="s">
        <v>370</v>
      </c>
      <c r="B38" s="15">
        <v>360919.306829996</v>
      </c>
      <c r="C38" s="34">
        <v>64.9525992073873</v>
      </c>
      <c r="D38" s="23" t="s">
        <v>371</v>
      </c>
      <c r="E38" s="23" t="s">
        <v>291</v>
      </c>
      <c r="F38" s="36">
        <v>72.045</v>
      </c>
      <c r="G38" s="36">
        <v>38.4256</v>
      </c>
      <c r="H38" s="36">
        <v>118.410019746121</v>
      </c>
      <c r="I38" s="23">
        <v>7.3</v>
      </c>
      <c r="J38" s="36">
        <v>1.53999999999997</v>
      </c>
      <c r="K38" s="40" t="s">
        <v>372</v>
      </c>
    </row>
    <row r="39" spans="1:11">
      <c r="A39" s="33" t="s">
        <v>373</v>
      </c>
      <c r="B39" s="15">
        <v>364904.928633644</v>
      </c>
      <c r="C39" s="34">
        <v>-29.4731703767522</v>
      </c>
      <c r="D39" s="23" t="s">
        <v>299</v>
      </c>
      <c r="E39" s="23" t="s">
        <v>291</v>
      </c>
      <c r="F39" s="36">
        <v>89.3358000000002</v>
      </c>
      <c r="G39" s="36">
        <v>9.728</v>
      </c>
      <c r="H39" s="36">
        <v>20.4017263751763</v>
      </c>
      <c r="I39" s="23">
        <v>7.3</v>
      </c>
      <c r="J39" s="36">
        <v>5.06</v>
      </c>
      <c r="K39" s="40" t="s">
        <v>374</v>
      </c>
    </row>
    <row r="40" spans="1:11">
      <c r="A40" s="33" t="s">
        <v>375</v>
      </c>
      <c r="B40" s="15">
        <v>368970.5843</v>
      </c>
      <c r="C40" s="34">
        <v>25.6619</v>
      </c>
      <c r="D40" s="23" t="s">
        <v>376</v>
      </c>
      <c r="E40" s="23" t="s">
        <v>291</v>
      </c>
      <c r="F40" s="36">
        <v>73.9662000000001</v>
      </c>
      <c r="G40" s="36">
        <v>12.16</v>
      </c>
      <c r="H40" s="36">
        <v>24.0020310296192</v>
      </c>
      <c r="I40" s="23">
        <v>7.3</v>
      </c>
      <c r="J40" s="36">
        <v>3.96</v>
      </c>
      <c r="K40" s="40" t="s">
        <v>377</v>
      </c>
    </row>
    <row r="41" spans="1:11">
      <c r="A41" s="33" t="s">
        <v>378</v>
      </c>
      <c r="B41" s="15">
        <v>370136.730151354</v>
      </c>
      <c r="C41" s="34">
        <v>23.2372898379587</v>
      </c>
      <c r="D41" s="23" t="s">
        <v>371</v>
      </c>
      <c r="E41" s="23" t="s">
        <v>291</v>
      </c>
      <c r="F41" s="36">
        <v>118.1538</v>
      </c>
      <c r="G41" s="36">
        <v>27.4816</v>
      </c>
      <c r="H41" s="36">
        <v>74.4062961918195</v>
      </c>
      <c r="I41" s="23">
        <v>7.2</v>
      </c>
      <c r="J41" s="36">
        <v>10.56</v>
      </c>
      <c r="K41" s="40" t="s">
        <v>379</v>
      </c>
    </row>
    <row r="42" spans="1:11">
      <c r="A42" s="33" t="s">
        <v>380</v>
      </c>
      <c r="B42" s="15">
        <v>372163.969179963</v>
      </c>
      <c r="C42" s="34">
        <v>-95.4628846913806</v>
      </c>
      <c r="D42" s="23">
        <v>0</v>
      </c>
      <c r="E42" s="23" t="s">
        <v>291</v>
      </c>
      <c r="F42" s="36">
        <v>102.7842</v>
      </c>
      <c r="G42" s="36">
        <v>26.0224</v>
      </c>
      <c r="H42" s="36">
        <v>84.4071424541608</v>
      </c>
      <c r="I42" s="23">
        <v>7.9</v>
      </c>
      <c r="J42" s="36">
        <v>0</v>
      </c>
      <c r="K42" s="40" t="s">
        <v>381</v>
      </c>
    </row>
    <row r="43" spans="1:11">
      <c r="A43" s="33" t="s">
        <v>382</v>
      </c>
      <c r="B43" s="15">
        <v>374120.923057642</v>
      </c>
      <c r="C43" s="34">
        <v>-54.7802843320357</v>
      </c>
      <c r="D43" s="23" t="s">
        <v>371</v>
      </c>
      <c r="E43" s="23" t="s">
        <v>291</v>
      </c>
      <c r="F43" s="36">
        <v>74.9268</v>
      </c>
      <c r="G43" s="36">
        <v>14.1056</v>
      </c>
      <c r="H43" s="36">
        <v>22.4018956276446</v>
      </c>
      <c r="I43" s="23">
        <v>7.7</v>
      </c>
      <c r="J43" s="36">
        <v>0</v>
      </c>
      <c r="K43" s="40" t="s">
        <v>383</v>
      </c>
    </row>
    <row r="44" spans="1:11">
      <c r="A44" s="33" t="s">
        <v>384</v>
      </c>
      <c r="B44" s="15">
        <v>376187.088348099</v>
      </c>
      <c r="C44" s="34">
        <v>149.26871894537</v>
      </c>
      <c r="D44" s="43" t="s">
        <v>385</v>
      </c>
      <c r="E44" s="43" t="s">
        <v>291</v>
      </c>
      <c r="F44" s="43">
        <v>67.2420000000001</v>
      </c>
      <c r="G44" s="43">
        <v>16.2944</v>
      </c>
      <c r="H44" s="43">
        <v>29.6025049365303</v>
      </c>
      <c r="I44" s="43">
        <v>7.4</v>
      </c>
      <c r="J44" s="43">
        <v>2.64</v>
      </c>
      <c r="K44" s="40" t="s">
        <v>386</v>
      </c>
    </row>
    <row r="45" spans="1:11">
      <c r="A45" s="33" t="s">
        <v>387</v>
      </c>
      <c r="B45" s="15">
        <v>378107.893623996</v>
      </c>
      <c r="C45" s="34">
        <v>41.2742549070765</v>
      </c>
      <c r="D45" s="53">
        <v>0</v>
      </c>
      <c r="E45" s="23" t="s">
        <v>291</v>
      </c>
      <c r="F45" s="14">
        <v>195.9624</v>
      </c>
      <c r="G45" s="14">
        <v>56.4224</v>
      </c>
      <c r="H45" s="14">
        <v>80.0067700987306</v>
      </c>
      <c r="I45" s="14">
        <v>7</v>
      </c>
      <c r="J45" s="14">
        <v>0</v>
      </c>
      <c r="K45" s="40" t="s">
        <v>388</v>
      </c>
    </row>
    <row r="46" spans="1:11">
      <c r="A46" s="33" t="s">
        <v>389</v>
      </c>
      <c r="B46" s="15">
        <v>379755.032971033</v>
      </c>
      <c r="C46" s="34">
        <v>30.4752044826894</v>
      </c>
      <c r="D46" s="46" t="s">
        <v>303</v>
      </c>
      <c r="E46" s="36" t="s">
        <v>291</v>
      </c>
      <c r="F46" s="49">
        <v>65.3208</v>
      </c>
      <c r="G46" s="49">
        <v>8.512</v>
      </c>
      <c r="H46" s="49">
        <v>21.0017771509168</v>
      </c>
      <c r="I46" s="14">
        <v>7.4</v>
      </c>
      <c r="J46" s="54">
        <v>0</v>
      </c>
      <c r="K46" s="40" t="s">
        <v>390</v>
      </c>
    </row>
    <row r="47" spans="1:11">
      <c r="A47" s="33" t="s">
        <v>391</v>
      </c>
      <c r="B47" s="15">
        <v>381250.478790771</v>
      </c>
      <c r="C47" s="34">
        <v>-124.61498896187</v>
      </c>
      <c r="D47" s="14" t="s">
        <v>317</v>
      </c>
      <c r="E47" s="25" t="s">
        <v>291</v>
      </c>
      <c r="F47" s="19">
        <v>60.5177999999999</v>
      </c>
      <c r="G47" s="19">
        <v>22.6176</v>
      </c>
      <c r="H47" s="19">
        <v>50.4042651622003</v>
      </c>
      <c r="I47" s="20">
        <v>7.9</v>
      </c>
      <c r="J47" s="21">
        <v>0</v>
      </c>
      <c r="K47" s="40" t="s">
        <v>392</v>
      </c>
    </row>
    <row r="48" spans="1:11">
      <c r="A48" s="33" t="s">
        <v>393</v>
      </c>
      <c r="B48" s="15">
        <v>382470.966259109</v>
      </c>
      <c r="C48" s="34">
        <v>61.6817512373443</v>
      </c>
      <c r="D48" s="46" t="s">
        <v>311</v>
      </c>
      <c r="E48" s="36" t="s">
        <v>291</v>
      </c>
      <c r="F48" s="49">
        <v>67.2419999999999</v>
      </c>
      <c r="G48" s="49">
        <v>11.4304</v>
      </c>
      <c r="H48" s="49">
        <v>25.6021664315938</v>
      </c>
      <c r="I48" s="50">
        <v>7.4</v>
      </c>
      <c r="J48" s="54">
        <v>0</v>
      </c>
      <c r="K48" s="40" t="s">
        <v>394</v>
      </c>
    </row>
    <row r="49" spans="1:11">
      <c r="A49" s="33" t="s">
        <v>395</v>
      </c>
      <c r="B49" s="15">
        <v>384535.338580071</v>
      </c>
      <c r="C49" s="34">
        <v>102.652009161916</v>
      </c>
      <c r="D49" s="46" t="s">
        <v>396</v>
      </c>
      <c r="E49" s="36" t="s">
        <v>291</v>
      </c>
      <c r="F49" s="49">
        <v>103.7448</v>
      </c>
      <c r="G49" s="49">
        <v>14.1056</v>
      </c>
      <c r="H49" s="49">
        <v>51.6043667136812</v>
      </c>
      <c r="I49" s="50">
        <v>7.4</v>
      </c>
      <c r="J49" s="54">
        <v>0</v>
      </c>
      <c r="K49" s="40" t="s">
        <v>397</v>
      </c>
    </row>
    <row r="50" spans="1:11">
      <c r="A50" s="33" t="s">
        <v>398</v>
      </c>
      <c r="B50" s="15">
        <v>386475.439127397</v>
      </c>
      <c r="C50" s="34">
        <v>-29.1642864741301</v>
      </c>
      <c r="D50" s="46" t="s">
        <v>399</v>
      </c>
      <c r="E50" s="36" t="s">
        <v>291</v>
      </c>
      <c r="F50" s="37">
        <v>111.4296</v>
      </c>
      <c r="G50" s="37">
        <v>17.024</v>
      </c>
      <c r="H50" s="37">
        <v>66.4056191819464</v>
      </c>
      <c r="I50" s="47">
        <v>7.2</v>
      </c>
      <c r="J50" s="37">
        <v>0</v>
      </c>
      <c r="K50" s="40" t="s">
        <v>400</v>
      </c>
    </row>
    <row r="51" spans="1:11">
      <c r="A51" s="33" t="s">
        <v>401</v>
      </c>
      <c r="B51" s="15">
        <v>388517.619058845</v>
      </c>
      <c r="C51" s="34">
        <v>39.9285757662039</v>
      </c>
      <c r="D51" s="23" t="s">
        <v>346</v>
      </c>
      <c r="E51" s="23" t="s">
        <v>291</v>
      </c>
      <c r="F51" s="36">
        <v>249.756</v>
      </c>
      <c r="G51" s="36">
        <v>17.024</v>
      </c>
      <c r="H51" s="36">
        <v>28.4024033850494</v>
      </c>
      <c r="I51" s="23">
        <v>7.6</v>
      </c>
      <c r="J51" s="36">
        <v>0</v>
      </c>
      <c r="K51" s="40" t="s">
        <v>402</v>
      </c>
    </row>
    <row r="52" spans="1:11">
      <c r="A52" s="33" t="s">
        <v>403</v>
      </c>
      <c r="B52" s="15">
        <v>390237.953344342</v>
      </c>
      <c r="C52" s="34">
        <v>122.38542585991</v>
      </c>
      <c r="D52" s="23" t="s">
        <v>404</v>
      </c>
      <c r="E52" s="23" t="s">
        <v>291</v>
      </c>
      <c r="F52" s="36">
        <v>65.3208000000002</v>
      </c>
      <c r="G52" s="36">
        <v>19.456</v>
      </c>
      <c r="H52" s="36">
        <v>55.0046544428773</v>
      </c>
      <c r="I52" s="23">
        <v>7.3</v>
      </c>
      <c r="J52" s="36">
        <v>0</v>
      </c>
      <c r="K52" s="40" t="s">
        <v>405</v>
      </c>
    </row>
    <row r="53" spans="1:11">
      <c r="A53" s="33" t="s">
        <v>406</v>
      </c>
      <c r="B53" s="15">
        <v>392503.463102958</v>
      </c>
      <c r="C53" s="34">
        <v>80.175465904872</v>
      </c>
      <c r="D53" s="46" t="s">
        <v>297</v>
      </c>
      <c r="E53" s="36" t="s">
        <v>291</v>
      </c>
      <c r="F53" s="37">
        <v>98.9417999999999</v>
      </c>
      <c r="G53" s="37">
        <v>9.2416</v>
      </c>
      <c r="H53" s="37">
        <v>32.0027080394922</v>
      </c>
      <c r="I53" s="47">
        <v>7.5</v>
      </c>
      <c r="J53" s="37">
        <v>0</v>
      </c>
      <c r="K53" s="40" t="s">
        <v>407</v>
      </c>
    </row>
    <row r="54" spans="1:11">
      <c r="A54" s="33" t="s">
        <v>206</v>
      </c>
      <c r="B54" s="15">
        <v>394705.977152846</v>
      </c>
      <c r="C54" s="34">
        <v>86.7211506221774</v>
      </c>
      <c r="D54" s="55"/>
      <c r="E54" s="36" t="s">
        <v>291</v>
      </c>
      <c r="F54" s="56">
        <v>105.666</v>
      </c>
      <c r="G54" s="56">
        <v>22.3744</v>
      </c>
      <c r="H54" s="56">
        <v>96.0081241184767</v>
      </c>
      <c r="I54" s="57">
        <v>7.3</v>
      </c>
      <c r="J54" s="56">
        <v>0</v>
      </c>
      <c r="K54" s="40" t="s">
        <v>408</v>
      </c>
    </row>
    <row r="55" spans="1:11">
      <c r="A55" s="33" t="s">
        <v>207</v>
      </c>
      <c r="B55" s="15">
        <v>396672.009018708</v>
      </c>
      <c r="C55" s="34">
        <v>19.684855688295</v>
      </c>
      <c r="D55" s="55"/>
      <c r="E55" s="36" t="s">
        <v>291</v>
      </c>
      <c r="F55" s="56">
        <v>144.09</v>
      </c>
      <c r="G55" s="56">
        <v>31.616</v>
      </c>
      <c r="H55" s="56">
        <v>62.0052468265162</v>
      </c>
      <c r="I55" s="57">
        <v>7.7</v>
      </c>
      <c r="J55" s="56">
        <v>0</v>
      </c>
      <c r="K55" s="40" t="s">
        <v>409</v>
      </c>
    </row>
    <row r="56" spans="1:11">
      <c r="A56" s="33" t="s">
        <v>208</v>
      </c>
      <c r="B56" s="15">
        <v>398875.78717755</v>
      </c>
      <c r="C56" s="34">
        <v>35.5483829264996</v>
      </c>
      <c r="D56" s="55">
        <v>1</v>
      </c>
      <c r="E56" s="36" t="s">
        <v>291</v>
      </c>
      <c r="F56" s="56">
        <v>64.3602</v>
      </c>
      <c r="G56" s="56">
        <v>7.7824</v>
      </c>
      <c r="H56" s="56">
        <v>23.6019971791255</v>
      </c>
      <c r="I56" s="57">
        <v>7.3</v>
      </c>
      <c r="J56" s="56">
        <v>4.84</v>
      </c>
      <c r="K56" s="40" t="s">
        <v>410</v>
      </c>
    </row>
    <row r="57" spans="1:11">
      <c r="A57" s="33" t="s">
        <v>411</v>
      </c>
      <c r="B57" s="15">
        <v>400464.532387578</v>
      </c>
      <c r="C57" s="34">
        <v>193.123471038771</v>
      </c>
      <c r="D57" s="46" t="s">
        <v>399</v>
      </c>
      <c r="E57" s="36" t="s">
        <v>291</v>
      </c>
      <c r="F57" s="37">
        <v>67.2420000000001</v>
      </c>
      <c r="G57" s="37">
        <v>3.648</v>
      </c>
      <c r="H57" s="37">
        <v>32.0027080394922</v>
      </c>
      <c r="I57" s="47">
        <v>7.5</v>
      </c>
      <c r="J57" s="37">
        <v>0</v>
      </c>
      <c r="K57" s="40" t="s">
        <v>412</v>
      </c>
    </row>
    <row r="58" spans="1:11">
      <c r="A58" s="33" t="s">
        <v>209</v>
      </c>
      <c r="B58" s="15">
        <v>402821.325975911</v>
      </c>
      <c r="C58" s="34">
        <v>-63.7556334481277</v>
      </c>
      <c r="D58" s="55">
        <v>2.2</v>
      </c>
      <c r="E58" s="36" t="s">
        <v>291</v>
      </c>
      <c r="F58" s="56">
        <v>651.2868</v>
      </c>
      <c r="G58" s="56">
        <v>25.0496</v>
      </c>
      <c r="H58" s="56">
        <v>20.0016925246826</v>
      </c>
      <c r="I58" s="57">
        <v>7.9</v>
      </c>
      <c r="J58" s="56">
        <v>0</v>
      </c>
      <c r="K58" s="40" t="s">
        <v>413</v>
      </c>
    </row>
    <row r="59" spans="1:11">
      <c r="A59" s="33" t="s">
        <v>210</v>
      </c>
      <c r="B59" s="15">
        <v>404628.40299973</v>
      </c>
      <c r="C59" s="34">
        <v>-91.2985408123232</v>
      </c>
      <c r="D59" s="55" t="s">
        <v>399</v>
      </c>
      <c r="E59" s="36" t="s">
        <v>291</v>
      </c>
      <c r="F59" s="56">
        <v>139.287</v>
      </c>
      <c r="G59" s="56">
        <v>38.912</v>
      </c>
      <c r="H59" s="56">
        <v>96.0081241184767</v>
      </c>
      <c r="I59" s="57">
        <v>7.4</v>
      </c>
      <c r="J59" s="56">
        <v>6.6</v>
      </c>
      <c r="K59" s="40" t="s">
        <v>414</v>
      </c>
    </row>
    <row r="60" spans="1:11">
      <c r="A60" s="33" t="s">
        <v>232</v>
      </c>
      <c r="B60" s="15">
        <v>406973.288869238</v>
      </c>
      <c r="C60" s="34">
        <v>19.0974368183181</v>
      </c>
      <c r="D60" s="46" t="s">
        <v>317</v>
      </c>
      <c r="E60" s="36" t="s">
        <v>291</v>
      </c>
      <c r="F60" s="37">
        <v>94.1387999999999</v>
      </c>
      <c r="G60" s="37">
        <v>17.024</v>
      </c>
      <c r="H60" s="37">
        <v>20.0016925246826</v>
      </c>
      <c r="I60" s="47">
        <v>7.8</v>
      </c>
      <c r="J60" s="37">
        <v>0</v>
      </c>
      <c r="K60" s="40" t="s">
        <v>415</v>
      </c>
    </row>
    <row r="61" spans="1:11">
      <c r="A61" s="33" t="s">
        <v>211</v>
      </c>
      <c r="B61" s="15">
        <v>408918.424959701</v>
      </c>
      <c r="C61" s="34">
        <v>-37.9799127629098</v>
      </c>
      <c r="D61" s="55" t="s">
        <v>299</v>
      </c>
      <c r="E61" s="36" t="s">
        <v>291</v>
      </c>
      <c r="F61" s="56">
        <v>124.878</v>
      </c>
      <c r="G61" s="56">
        <v>39.6416</v>
      </c>
      <c r="H61" s="56">
        <v>99.208394922426</v>
      </c>
      <c r="I61" s="57">
        <v>7.3</v>
      </c>
      <c r="J61" s="56">
        <v>6.6</v>
      </c>
      <c r="K61" s="40" t="s">
        <v>416</v>
      </c>
    </row>
    <row r="62" spans="1:11">
      <c r="A62" s="33" t="s">
        <v>212</v>
      </c>
      <c r="B62" s="15">
        <v>411183.23031264</v>
      </c>
      <c r="C62" s="34">
        <v>-4.26253819896364</v>
      </c>
      <c r="D62" s="55" t="s">
        <v>290</v>
      </c>
      <c r="E62" s="36" t="s">
        <v>291</v>
      </c>
      <c r="F62" s="56">
        <v>158.499</v>
      </c>
      <c r="G62" s="56">
        <v>15.808</v>
      </c>
      <c r="H62" s="56">
        <v>67.2056868829337</v>
      </c>
      <c r="I62" s="57">
        <v>7.4</v>
      </c>
      <c r="J62" s="56">
        <v>0</v>
      </c>
      <c r="K62" s="40" t="s">
        <v>417</v>
      </c>
    </row>
    <row r="63" spans="1:11">
      <c r="A63" s="33" t="s">
        <v>216</v>
      </c>
      <c r="B63" s="15">
        <v>413092.35</v>
      </c>
      <c r="C63" s="34">
        <v>53.5</v>
      </c>
      <c r="D63" s="55" t="s">
        <v>346</v>
      </c>
      <c r="E63" s="36" t="s">
        <v>291</v>
      </c>
      <c r="F63" s="56">
        <v>128.7204</v>
      </c>
      <c r="G63" s="56">
        <v>13.1328</v>
      </c>
      <c r="H63" s="56">
        <v>20.4017263751763</v>
      </c>
      <c r="I63" s="57">
        <v>7.5</v>
      </c>
      <c r="J63" s="56">
        <v>0</v>
      </c>
      <c r="K63" s="40" t="s">
        <v>418</v>
      </c>
    </row>
    <row r="64" spans="1:11">
      <c r="A64" s="33" t="s">
        <v>213</v>
      </c>
      <c r="B64" s="15">
        <v>415305.612595591</v>
      </c>
      <c r="C64" s="34">
        <v>-124.800615663271</v>
      </c>
      <c r="D64" s="58" t="s">
        <v>299</v>
      </c>
      <c r="E64" s="59" t="s">
        <v>291</v>
      </c>
      <c r="F64" s="56">
        <v>55.7148</v>
      </c>
      <c r="G64" s="56">
        <v>12.16</v>
      </c>
      <c r="H64" s="56">
        <v>42.0035543018336</v>
      </c>
      <c r="I64" s="57">
        <v>7.4</v>
      </c>
      <c r="J64" s="56">
        <v>0</v>
      </c>
      <c r="K64" s="40" t="s">
        <v>419</v>
      </c>
    </row>
    <row r="65" spans="1:11">
      <c r="A65" s="33" t="s">
        <v>214</v>
      </c>
      <c r="B65" s="15">
        <v>417123.226736039</v>
      </c>
      <c r="C65" s="34">
        <v>-81.0566512773186</v>
      </c>
      <c r="D65" s="55"/>
      <c r="E65" s="36" t="s">
        <v>291</v>
      </c>
      <c r="F65" s="56">
        <v>43.2270000000001</v>
      </c>
      <c r="G65" s="56">
        <v>12.6464</v>
      </c>
      <c r="H65" s="56">
        <v>52.0044005641749</v>
      </c>
      <c r="I65" s="57">
        <v>7.2</v>
      </c>
      <c r="J65" s="56">
        <v>9.9</v>
      </c>
      <c r="K65" s="40" t="s">
        <v>420</v>
      </c>
    </row>
    <row r="66" spans="1:11">
      <c r="A66" s="33" t="s">
        <v>217</v>
      </c>
      <c r="B66" s="15">
        <v>418862.367331926</v>
      </c>
      <c r="C66" s="34">
        <v>-10.7416734920911</v>
      </c>
      <c r="D66" s="58" t="s">
        <v>368</v>
      </c>
      <c r="E66" s="59" t="s">
        <v>291</v>
      </c>
      <c r="F66" s="56">
        <v>108.5478</v>
      </c>
      <c r="G66" s="56">
        <v>13.6192</v>
      </c>
      <c r="H66" s="56">
        <v>94.4079887165021</v>
      </c>
      <c r="I66" s="57">
        <v>7.3</v>
      </c>
      <c r="J66" s="56">
        <v>0</v>
      </c>
      <c r="K66" s="40" t="s">
        <v>421</v>
      </c>
    </row>
    <row r="67" spans="1:11">
      <c r="A67" s="33" t="s">
        <v>218</v>
      </c>
      <c r="B67" s="15">
        <v>420646.591155183</v>
      </c>
      <c r="C67" s="34">
        <v>-63.3999619525548</v>
      </c>
      <c r="D67" s="48"/>
      <c r="E67" s="36" t="s">
        <v>291</v>
      </c>
      <c r="F67" s="37">
        <v>441.3957</v>
      </c>
      <c r="G67" s="37">
        <v>39.3984</v>
      </c>
      <c r="H67" s="37">
        <v>31.6026741889986</v>
      </c>
      <c r="I67" s="47">
        <v>7.7</v>
      </c>
      <c r="J67" s="37">
        <v>0</v>
      </c>
      <c r="K67" s="40" t="s">
        <v>422</v>
      </c>
    </row>
    <row r="68" spans="1:11">
      <c r="A68" s="33" t="s">
        <v>219</v>
      </c>
      <c r="B68" s="15">
        <v>422565.450119319</v>
      </c>
      <c r="C68" s="34">
        <v>-0.38454078946249</v>
      </c>
      <c r="D68" s="40"/>
      <c r="E68" s="36" t="s">
        <v>291</v>
      </c>
      <c r="F68" s="37">
        <v>660.4125</v>
      </c>
      <c r="G68" s="37">
        <v>79.04</v>
      </c>
      <c r="H68" s="37">
        <v>100.808530324401</v>
      </c>
      <c r="I68" s="47">
        <v>7.4</v>
      </c>
      <c r="J68" s="37">
        <v>0</v>
      </c>
      <c r="K68" s="40" t="s">
        <v>423</v>
      </c>
    </row>
    <row r="69" spans="1:11">
      <c r="A69" s="33" t="s">
        <v>220</v>
      </c>
      <c r="B69" s="15">
        <v>424671.992215525</v>
      </c>
      <c r="C69" s="34">
        <v>36.6462783604589</v>
      </c>
      <c r="D69" s="40"/>
      <c r="E69" s="36" t="s">
        <v>291</v>
      </c>
      <c r="F69" s="37">
        <v>86.454</v>
      </c>
      <c r="G69" s="37">
        <v>24.8064</v>
      </c>
      <c r="H69" s="37">
        <v>96.0081241184767</v>
      </c>
      <c r="I69" s="47">
        <v>7.4</v>
      </c>
      <c r="J69" s="37">
        <v>0</v>
      </c>
      <c r="K69" s="40" t="s">
        <v>424</v>
      </c>
    </row>
    <row r="70" spans="1:11">
      <c r="A70" s="33" t="s">
        <v>221</v>
      </c>
      <c r="B70" s="15">
        <v>426728.789055123</v>
      </c>
      <c r="C70" s="34">
        <v>-20.6229037526033</v>
      </c>
      <c r="D70" s="60" t="s">
        <v>343</v>
      </c>
      <c r="E70" s="59" t="s">
        <v>291</v>
      </c>
      <c r="F70" s="37">
        <v>46.5891</v>
      </c>
      <c r="G70" s="37">
        <v>9.3632</v>
      </c>
      <c r="H70" s="37">
        <v>37.6031819464034</v>
      </c>
      <c r="I70" s="47">
        <v>7.6</v>
      </c>
      <c r="J70" s="37">
        <v>0</v>
      </c>
      <c r="K70" s="40" t="s">
        <v>425</v>
      </c>
    </row>
    <row r="71" spans="1:11">
      <c r="A71" s="33" t="s">
        <v>222</v>
      </c>
      <c r="B71" s="15">
        <v>428679.757615921</v>
      </c>
      <c r="C71" s="34">
        <v>11.5700181254175</v>
      </c>
      <c r="D71" s="40"/>
      <c r="E71" s="36" t="s">
        <v>291</v>
      </c>
      <c r="F71" s="37">
        <v>126.7992</v>
      </c>
      <c r="G71" s="37">
        <v>10.944</v>
      </c>
      <c r="H71" s="37">
        <v>19.0016078984485</v>
      </c>
      <c r="I71" s="47">
        <v>7.8</v>
      </c>
      <c r="J71" s="37">
        <v>0</v>
      </c>
      <c r="K71" s="40" t="s">
        <v>426</v>
      </c>
    </row>
    <row r="72" spans="1:11">
      <c r="A72" s="33" t="s">
        <v>215</v>
      </c>
      <c r="B72" s="15">
        <v>430857.26988524</v>
      </c>
      <c r="C72" s="34">
        <v>-223.491298801901</v>
      </c>
      <c r="D72" s="46"/>
      <c r="E72" s="36" t="s">
        <v>291</v>
      </c>
      <c r="F72" s="37">
        <v>509.118</v>
      </c>
      <c r="G72" s="37">
        <v>41.344</v>
      </c>
      <c r="H72" s="37">
        <v>68.4057884344147</v>
      </c>
      <c r="I72" s="47">
        <v>7.3</v>
      </c>
      <c r="J72" s="37">
        <v>0</v>
      </c>
      <c r="K72" s="40" t="s">
        <v>427</v>
      </c>
    </row>
    <row r="73" spans="1:11">
      <c r="A73" s="33" t="s">
        <v>428</v>
      </c>
      <c r="B73" s="15">
        <v>431822.541040239</v>
      </c>
      <c r="C73" s="34">
        <v>4.96493466674638</v>
      </c>
      <c r="D73" s="43" t="s">
        <v>311</v>
      </c>
      <c r="E73" s="43" t="s">
        <v>291</v>
      </c>
      <c r="F73" s="43">
        <v>86.454</v>
      </c>
      <c r="G73" s="43">
        <v>12.8896</v>
      </c>
      <c r="H73" s="43">
        <v>26.0022002820875</v>
      </c>
      <c r="I73" s="43">
        <v>7.3</v>
      </c>
      <c r="J73" s="43">
        <v>3.3</v>
      </c>
      <c r="K73" s="40" t="s">
        <v>429</v>
      </c>
    </row>
    <row r="74" spans="1:11">
      <c r="A74" s="33" t="s">
        <v>223</v>
      </c>
      <c r="B74" s="61">
        <v>202.388856386764</v>
      </c>
      <c r="C74" s="34">
        <v>-146.079088509318</v>
      </c>
      <c r="D74" s="62" t="s">
        <v>317</v>
      </c>
      <c r="E74" s="36" t="s">
        <v>291</v>
      </c>
      <c r="F74" s="37">
        <v>82.6116</v>
      </c>
      <c r="G74" s="37">
        <v>6.8096</v>
      </c>
      <c r="H74" s="37">
        <v>32.4027418899859</v>
      </c>
      <c r="I74" s="47">
        <v>7.7</v>
      </c>
      <c r="J74" s="37">
        <v>0</v>
      </c>
      <c r="K74" s="40" t="s">
        <v>430</v>
      </c>
    </row>
    <row r="75" spans="1:11">
      <c r="A75" s="33" t="s">
        <v>230</v>
      </c>
      <c r="B75" s="61">
        <v>1188.45841124756</v>
      </c>
      <c r="C75" s="34">
        <v>-37.9870783947259</v>
      </c>
      <c r="D75" s="62" t="s">
        <v>340</v>
      </c>
      <c r="E75" s="36" t="s">
        <v>291</v>
      </c>
      <c r="F75" s="37">
        <v>209.4108</v>
      </c>
      <c r="G75" s="37">
        <v>29.6704</v>
      </c>
      <c r="H75" s="37">
        <v>68.4057884344147</v>
      </c>
      <c r="I75" s="47">
        <v>7.4</v>
      </c>
      <c r="J75" s="37">
        <v>0</v>
      </c>
      <c r="K75" s="40" t="s">
        <v>431</v>
      </c>
    </row>
    <row r="76" spans="1:11">
      <c r="A76" s="33" t="s">
        <v>229</v>
      </c>
      <c r="B76" s="30">
        <v>136.65</v>
      </c>
      <c r="C76" s="34">
        <v>-67.85</v>
      </c>
      <c r="D76" s="62" t="s">
        <v>432</v>
      </c>
      <c r="E76" s="36" t="s">
        <v>291</v>
      </c>
      <c r="F76" s="37">
        <v>33.621</v>
      </c>
      <c r="G76" s="37">
        <v>14.592</v>
      </c>
      <c r="H76" s="37">
        <v>16.0013540197461</v>
      </c>
      <c r="I76" s="47">
        <v>6.8</v>
      </c>
      <c r="J76" s="37">
        <v>6.6</v>
      </c>
      <c r="K76" s="40" t="s">
        <v>433</v>
      </c>
    </row>
    <row r="77" spans="1:11">
      <c r="A77" s="33" t="s">
        <v>228</v>
      </c>
      <c r="B77" s="30">
        <v>429.237658687646</v>
      </c>
      <c r="C77" s="34">
        <v>-53.715367368535</v>
      </c>
      <c r="D77" s="62" t="s">
        <v>434</v>
      </c>
      <c r="E77" s="36" t="s">
        <v>291</v>
      </c>
      <c r="F77" s="37">
        <v>24.015</v>
      </c>
      <c r="G77" s="37">
        <v>9.728</v>
      </c>
      <c r="H77" s="37">
        <v>16.8014217207334</v>
      </c>
      <c r="I77" s="47">
        <v>6.8</v>
      </c>
      <c r="J77" s="37">
        <v>8.8</v>
      </c>
      <c r="K77" s="40" t="s">
        <v>435</v>
      </c>
    </row>
    <row r="78" spans="1:11">
      <c r="A78" s="33" t="s">
        <v>227</v>
      </c>
      <c r="B78" s="30">
        <v>2640.39313559424</v>
      </c>
      <c r="C78" s="34">
        <v>104.595501995948</v>
      </c>
      <c r="D78" s="46" t="s">
        <v>436</v>
      </c>
      <c r="E78" s="36" t="s">
        <v>291</v>
      </c>
      <c r="F78" s="37">
        <v>132.5628</v>
      </c>
      <c r="G78" s="37">
        <v>14.592</v>
      </c>
      <c r="H78" s="37">
        <v>38.003215796897</v>
      </c>
      <c r="I78" s="47">
        <v>7.5</v>
      </c>
      <c r="J78" s="37">
        <v>0</v>
      </c>
      <c r="K78" s="40" t="s">
        <v>437</v>
      </c>
    </row>
    <row r="79" spans="1:11">
      <c r="A79" s="33" t="s">
        <v>226</v>
      </c>
      <c r="B79" s="30">
        <v>4581.69877331708</v>
      </c>
      <c r="C79" s="34">
        <v>74.5486310204432</v>
      </c>
      <c r="D79" s="62" t="s">
        <v>340</v>
      </c>
      <c r="E79" s="36" t="s">
        <v>291</v>
      </c>
      <c r="F79" s="37">
        <v>126.7992</v>
      </c>
      <c r="G79" s="37">
        <v>15.0784</v>
      </c>
      <c r="H79" s="37">
        <v>34.4029111424542</v>
      </c>
      <c r="I79" s="47">
        <v>7.5</v>
      </c>
      <c r="J79" s="37">
        <v>0</v>
      </c>
      <c r="K79" s="40" t="s">
        <v>438</v>
      </c>
    </row>
    <row r="80" spans="1:11">
      <c r="A80" s="33" t="s">
        <v>225</v>
      </c>
      <c r="B80" s="30">
        <v>6532.93112342132</v>
      </c>
      <c r="C80" s="34">
        <v>58.8677562366415</v>
      </c>
      <c r="D80" s="46"/>
      <c r="E80" s="36" t="s">
        <v>291</v>
      </c>
      <c r="F80" s="37">
        <v>33.621</v>
      </c>
      <c r="G80" s="37">
        <v>12.16</v>
      </c>
      <c r="H80" s="37">
        <v>25.6021664315938</v>
      </c>
      <c r="I80" s="47">
        <v>7.2</v>
      </c>
      <c r="J80" s="37">
        <v>5.5</v>
      </c>
      <c r="K80" s="40" t="s">
        <v>439</v>
      </c>
    </row>
    <row r="81" spans="1:11">
      <c r="A81" s="33" t="s">
        <v>224</v>
      </c>
      <c r="B81" s="30">
        <v>8745.70231083706</v>
      </c>
      <c r="C81" s="34">
        <v>121.297697187683</v>
      </c>
      <c r="D81" s="40" t="s">
        <v>346</v>
      </c>
      <c r="E81" s="36" t="s">
        <v>291</v>
      </c>
      <c r="F81" s="37">
        <v>83.5722000000001</v>
      </c>
      <c r="G81" s="37">
        <v>23.104</v>
      </c>
      <c r="H81" s="37">
        <v>37.0031311706629</v>
      </c>
      <c r="I81" s="47">
        <v>7.2</v>
      </c>
      <c r="J81" s="37">
        <v>0</v>
      </c>
      <c r="K81" s="40" t="s">
        <v>440</v>
      </c>
    </row>
  </sheetData>
  <sortState ref="A1:K81">
    <sortCondition ref="A1"/>
  </sortState>
  <conditionalFormatting sqref="D3:D13 D23 D25 D31:D33 D35:D37">
    <cfRule type="expression" dxfId="0" priority="1" stopIfTrue="1">
      <formula>COUNTIF(#REF!,#REF!)=1</formula>
    </cfRule>
    <cfRule type="expression" dxfId="1" priority="2" stopIfTrue="1">
      <formula>COUNTIF(#REF!,#REF!)=1</formula>
    </cfRule>
    <cfRule type="expression" dxfId="2" priority="3" stopIfTrue="1">
      <formula>COUNTIF(#REF!,#REF!)=1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Q15"/>
  <sheetViews>
    <sheetView topLeftCell="C1" workbookViewId="0">
      <selection activeCell="Q1" sqref="Q1:Q15"/>
    </sheetView>
  </sheetViews>
  <sheetFormatPr defaultColWidth="9" defaultRowHeight="15"/>
  <cols>
    <col min="2" max="3" width="15.25" customWidth="1"/>
    <col min="6" max="6" width="9.375"/>
    <col min="8" max="8" width="12.625"/>
  </cols>
  <sheetData>
    <row r="1" ht="28" spans="1:17">
      <c r="A1" s="13" t="s">
        <v>441</v>
      </c>
      <c r="B1" s="14" t="s">
        <v>370</v>
      </c>
      <c r="C1" s="15">
        <v>360919.306829996</v>
      </c>
      <c r="D1" s="16">
        <v>0</v>
      </c>
      <c r="E1" s="16" t="s">
        <v>291</v>
      </c>
      <c r="F1" s="16">
        <v>61.4784000000001</v>
      </c>
      <c r="G1" s="16">
        <v>12.6464</v>
      </c>
      <c r="H1" s="16">
        <v>54.4046036671368</v>
      </c>
      <c r="I1" s="16">
        <v>7.6</v>
      </c>
      <c r="J1" s="16">
        <v>0</v>
      </c>
      <c r="K1" s="14" t="str">
        <f>IF(AND(F1&gt;10000,F1&lt;=20000),"H4",IF(AND(F1&gt;4000,F1&lt;=10000),"H3",(IF(AND(F1&gt;1000,F1&lt;=4000),"H2",IF(AND(F1&gt;=200,F1&lt;=1000),"H1","无")))))</f>
        <v>无</v>
      </c>
      <c r="L1" s="14" t="str">
        <f t="shared" ref="L1:M3" si="0">IF(AND(I1&lt;=6.5,I1&gt;=5.5),"H1",IF(AND(I1&lt;5.5,I1&gt;=4.5),"H2",IF(AND(I1&lt;4.5,I1&gt;=4),"H3","无")))</f>
        <v>无</v>
      </c>
      <c r="M1" s="14" t="str">
        <f t="shared" si="0"/>
        <v>无</v>
      </c>
      <c r="N1" s="14" t="str">
        <f>IF(G1&gt;3000,"H3",IF(AND(G1&gt;1000,G1&lt;=3000),"H2",IF(AND(G1&lt;=1000,G1&gt;=300),"H1","无")))</f>
        <v>无</v>
      </c>
      <c r="O1" s="14" t="str">
        <f>IF(H1&gt;5000,"L3",IF(AND(H1&gt;500,H1&lt;=5000),"L2",IF(AND(H1&lt;=500,H1&gt;=100),"L1","无")))</f>
        <v>无</v>
      </c>
      <c r="P1" s="14" t="str">
        <f>IF(AND(F1&gt;5000,F1&lt;=10000),"Y4",IF(AND(F1&gt;2000,F1&lt;=5000),"Y3",(IF(AND(F1&gt;500,F1&lt;=2000),"Y2",IF(AND(F1&gt;=200,F1&lt;=500),"Y1","无")))))</f>
        <v>无</v>
      </c>
      <c r="Q1" s="17" t="s">
        <v>442</v>
      </c>
    </row>
    <row r="2" ht="28" spans="1:17">
      <c r="A2" s="13" t="s">
        <v>443</v>
      </c>
      <c r="B2" s="14" t="s">
        <v>444</v>
      </c>
      <c r="C2" s="15">
        <v>362971.26104203</v>
      </c>
      <c r="D2" s="14">
        <v>0</v>
      </c>
      <c r="E2" s="18" t="s">
        <v>291</v>
      </c>
      <c r="F2" s="19">
        <v>70.1237999999999</v>
      </c>
      <c r="G2" s="19">
        <v>8.512</v>
      </c>
      <c r="H2" s="19">
        <v>53.6045359661495</v>
      </c>
      <c r="I2" s="20">
        <v>7.6</v>
      </c>
      <c r="J2" s="21">
        <v>0</v>
      </c>
      <c r="K2" s="14" t="str">
        <f>IF(AND(F2&gt;10000,F2&lt;=20000),"H4",IF(AND(F2&gt;4000,F2&lt;=10000),"H3",(IF(AND(F2&gt;1000,F2&lt;=4000),"H2",IF(AND(F2&gt;=200,F2&lt;=1000),"H1","无")))))</f>
        <v>无</v>
      </c>
      <c r="L2" s="14" t="str">
        <f t="shared" si="0"/>
        <v>无</v>
      </c>
      <c r="M2" s="14" t="str">
        <f t="shared" si="0"/>
        <v>无</v>
      </c>
      <c r="N2" s="14" t="str">
        <f>IF(G2&gt;3000,"H3",IF(AND(G2&gt;1000,G2&lt;=3000),"H2",IF(AND(G2&lt;=1000,G2&gt;=300),"H1","无")))</f>
        <v>无</v>
      </c>
      <c r="O2" s="14" t="str">
        <f>IF(H2&gt;5000,"L3",IF(AND(H2&gt;500,H2&lt;=5000),"L2",IF(AND(H2&lt;=500,H2&gt;=100),"L1","无")))</f>
        <v>无</v>
      </c>
      <c r="P2" s="14" t="str">
        <f>IF(AND(F2&gt;5000,F2&lt;=10000),"Y4",IF(AND(F2&gt;2000,F2&lt;=5000),"Y3",(IF(AND(F2&gt;500,F2&lt;=2000),"Y2",IF(AND(F2&gt;=200,F2&lt;=500),"Y1","无")))))</f>
        <v>无</v>
      </c>
      <c r="Q2" s="17" t="s">
        <v>445</v>
      </c>
    </row>
    <row r="3" ht="28" spans="1:17">
      <c r="A3" s="13" t="s">
        <v>446</v>
      </c>
      <c r="B3" s="14" t="s">
        <v>447</v>
      </c>
      <c r="C3" s="15">
        <v>367011.873871376</v>
      </c>
      <c r="D3" s="14">
        <v>0</v>
      </c>
      <c r="E3" s="18" t="s">
        <v>291</v>
      </c>
      <c r="F3" s="19">
        <v>76.8480000000001</v>
      </c>
      <c r="G3" s="19">
        <v>22.3744</v>
      </c>
      <c r="H3" s="19">
        <v>64.4054499294782</v>
      </c>
      <c r="I3" s="20">
        <v>7.5</v>
      </c>
      <c r="J3" s="21">
        <v>0</v>
      </c>
      <c r="K3" s="14" t="str">
        <f>IF(AND(F3&gt;10000,F3&lt;=20000),"H4",IF(AND(F3&gt;4000,F3&lt;=10000),"H3",(IF(AND(F3&gt;1000,F3&lt;=4000),"H2",IF(AND(F3&gt;=200,F3&lt;=1000),"H1","无")))))</f>
        <v>无</v>
      </c>
      <c r="L3" s="14" t="str">
        <f t="shared" si="0"/>
        <v>无</v>
      </c>
      <c r="M3" s="14" t="str">
        <f t="shared" si="0"/>
        <v>无</v>
      </c>
      <c r="N3" s="14" t="str">
        <f>IF(G3&gt;3000,"H3",IF(AND(G3&gt;1000,G3&lt;=3000),"H2",IF(AND(G3&lt;=1000,G3&gt;=300),"H1","无")))</f>
        <v>无</v>
      </c>
      <c r="O3" s="14" t="str">
        <f>IF(H3&gt;5000,"L3",IF(AND(H3&gt;500,H3&lt;=5000),"L2",IF(AND(H3&lt;=500,H3&gt;=100),"L1","无")))</f>
        <v>无</v>
      </c>
      <c r="P3" s="14" t="str">
        <f>IF(AND(F3&gt;5000,F3&lt;=10000),"Y4",IF(AND(F3&gt;2000,F3&lt;=5000),"Y3",(IF(AND(F3&gt;500,F3&lt;=2000),"Y2",IF(AND(F3&gt;=200,F3&lt;=500),"Y1","无")))))</f>
        <v>无</v>
      </c>
      <c r="Q3" s="17" t="s">
        <v>448</v>
      </c>
    </row>
    <row r="4" ht="28" spans="1:17">
      <c r="A4" s="13" t="s">
        <v>449</v>
      </c>
      <c r="B4" s="14" t="s">
        <v>375</v>
      </c>
      <c r="C4" s="15">
        <v>368970.5843</v>
      </c>
      <c r="D4" s="14">
        <v>0</v>
      </c>
      <c r="E4" s="22" t="s">
        <v>291</v>
      </c>
      <c r="F4" s="19">
        <v>89.3358</v>
      </c>
      <c r="G4" s="19">
        <v>16.0512</v>
      </c>
      <c r="H4" s="19">
        <v>38.4032496473907</v>
      </c>
      <c r="I4" s="20">
        <v>7.8</v>
      </c>
      <c r="J4" s="21">
        <v>0</v>
      </c>
      <c r="K4" s="14"/>
      <c r="L4" s="14"/>
      <c r="M4" s="14"/>
      <c r="N4" s="14"/>
      <c r="O4" s="14"/>
      <c r="P4" s="14"/>
      <c r="Q4" s="17" t="s">
        <v>450</v>
      </c>
    </row>
    <row r="5" spans="1:17">
      <c r="A5" s="13" t="s">
        <v>451</v>
      </c>
      <c r="B5" s="14" t="s">
        <v>382</v>
      </c>
      <c r="C5" s="15">
        <v>374120.923057642</v>
      </c>
      <c r="D5" s="14">
        <v>0</v>
      </c>
      <c r="E5" s="22" t="s">
        <v>291</v>
      </c>
      <c r="F5" s="19">
        <v>74.9268</v>
      </c>
      <c r="G5" s="19">
        <v>14.1056</v>
      </c>
      <c r="H5" s="19">
        <v>51.0043159379408</v>
      </c>
      <c r="I5" s="20">
        <v>7.5</v>
      </c>
      <c r="J5" s="21">
        <v>0</v>
      </c>
      <c r="K5" s="14"/>
      <c r="L5" s="14"/>
      <c r="M5" s="14"/>
      <c r="N5" s="14"/>
      <c r="O5" s="14"/>
      <c r="P5" s="14"/>
      <c r="Q5" s="17" t="s">
        <v>452</v>
      </c>
    </row>
    <row r="6" spans="1:17">
      <c r="A6" s="23" t="s">
        <v>453</v>
      </c>
      <c r="B6" s="14" t="s">
        <v>391</v>
      </c>
      <c r="C6" s="15">
        <v>381250.478790771</v>
      </c>
      <c r="D6" s="24">
        <v>0</v>
      </c>
      <c r="E6" s="25" t="s">
        <v>291</v>
      </c>
      <c r="F6" s="19">
        <v>98.9417999999999</v>
      </c>
      <c r="G6" s="19">
        <v>18.24</v>
      </c>
      <c r="H6" s="19">
        <v>43.0036389280677</v>
      </c>
      <c r="I6" s="26">
        <v>7.4</v>
      </c>
      <c r="J6" s="21">
        <v>0</v>
      </c>
      <c r="K6" s="14"/>
      <c r="L6" s="14"/>
      <c r="M6" s="14"/>
      <c r="N6" s="14"/>
      <c r="O6" s="14"/>
      <c r="P6" s="14"/>
      <c r="Q6" s="17" t="s">
        <v>454</v>
      </c>
    </row>
    <row r="7" spans="1:17">
      <c r="A7" s="23" t="s">
        <v>455</v>
      </c>
      <c r="B7" s="14" t="s">
        <v>403</v>
      </c>
      <c r="C7" s="15">
        <v>390237.953344342</v>
      </c>
      <c r="D7" s="24">
        <v>0</v>
      </c>
      <c r="E7" s="25" t="s">
        <v>291</v>
      </c>
      <c r="F7" s="19">
        <v>118.1538</v>
      </c>
      <c r="G7" s="19">
        <v>17.7536</v>
      </c>
      <c r="H7" s="27">
        <v>51.6043667136812</v>
      </c>
      <c r="I7" s="20">
        <v>7.3</v>
      </c>
      <c r="J7" s="28">
        <v>0</v>
      </c>
      <c r="K7" s="14"/>
      <c r="L7" s="14"/>
      <c r="M7" s="14"/>
      <c r="N7" s="14"/>
      <c r="O7" s="14"/>
      <c r="P7" s="14"/>
      <c r="Q7" s="17" t="s">
        <v>456</v>
      </c>
    </row>
    <row r="8" spans="1:17">
      <c r="A8" s="23" t="s">
        <v>457</v>
      </c>
      <c r="B8" s="14" t="s">
        <v>206</v>
      </c>
      <c r="C8" s="15">
        <v>394705.977152846</v>
      </c>
      <c r="D8" s="24">
        <v>0</v>
      </c>
      <c r="E8" s="25" t="s">
        <v>291</v>
      </c>
      <c r="F8" s="19">
        <v>117.1932</v>
      </c>
      <c r="G8" s="19">
        <v>18.7264</v>
      </c>
      <c r="H8" s="27">
        <v>56.0047390691114</v>
      </c>
      <c r="I8" s="20">
        <v>7.2</v>
      </c>
      <c r="J8" s="28">
        <v>0</v>
      </c>
      <c r="K8" s="14"/>
      <c r="L8" s="14"/>
      <c r="M8" s="14"/>
      <c r="N8" s="14"/>
      <c r="O8" s="14"/>
      <c r="P8" s="14"/>
      <c r="Q8" s="17" t="s">
        <v>458</v>
      </c>
    </row>
    <row r="9" ht="28" spans="1:17">
      <c r="A9" s="13" t="s">
        <v>459</v>
      </c>
      <c r="B9" s="14" t="s">
        <v>209</v>
      </c>
      <c r="C9" s="15">
        <v>402821.325975911</v>
      </c>
      <c r="D9" s="14">
        <v>0</v>
      </c>
      <c r="E9" s="22" t="s">
        <v>291</v>
      </c>
      <c r="F9" s="19">
        <v>110.469</v>
      </c>
      <c r="G9" s="19">
        <v>8.512</v>
      </c>
      <c r="H9" s="19">
        <v>48.404095909732</v>
      </c>
      <c r="I9" s="20">
        <v>7.2</v>
      </c>
      <c r="J9" s="21">
        <v>0</v>
      </c>
      <c r="K9" s="14"/>
      <c r="L9" s="14"/>
      <c r="M9" s="14"/>
      <c r="N9" s="14"/>
      <c r="O9" s="14"/>
      <c r="P9" s="14"/>
      <c r="Q9" s="17" t="s">
        <v>460</v>
      </c>
    </row>
    <row r="10" spans="1:17">
      <c r="A10" s="13" t="s">
        <v>461</v>
      </c>
      <c r="B10" s="14" t="s">
        <v>211</v>
      </c>
      <c r="C10" s="15">
        <v>408918.424959701</v>
      </c>
      <c r="D10" s="14">
        <v>0</v>
      </c>
      <c r="E10" s="22" t="s">
        <v>291</v>
      </c>
      <c r="F10" s="19">
        <v>132.5628</v>
      </c>
      <c r="G10" s="19">
        <v>17.7536</v>
      </c>
      <c r="H10" s="19">
        <v>35.6030126939351</v>
      </c>
      <c r="I10" s="20">
        <v>7.4</v>
      </c>
      <c r="J10" s="21">
        <v>0</v>
      </c>
      <c r="K10" s="14"/>
      <c r="L10" s="14"/>
      <c r="M10" s="14"/>
      <c r="N10" s="14"/>
      <c r="O10" s="14"/>
      <c r="P10" s="14"/>
      <c r="Q10" s="17" t="s">
        <v>462</v>
      </c>
    </row>
    <row r="11" spans="1:17">
      <c r="A11" s="23" t="s">
        <v>463</v>
      </c>
      <c r="B11" s="14" t="s">
        <v>213</v>
      </c>
      <c r="C11" s="15">
        <v>415305.612595591</v>
      </c>
      <c r="D11" s="24">
        <v>0</v>
      </c>
      <c r="E11" s="25" t="s">
        <v>291</v>
      </c>
      <c r="F11" s="19">
        <v>78.7692</v>
      </c>
      <c r="G11" s="19">
        <v>13.8624</v>
      </c>
      <c r="H11" s="27">
        <v>55.6047052186178</v>
      </c>
      <c r="I11" s="20">
        <v>7.4</v>
      </c>
      <c r="J11" s="28">
        <v>0</v>
      </c>
      <c r="K11" s="14"/>
      <c r="L11" s="14"/>
      <c r="M11" s="14"/>
      <c r="N11" s="14"/>
      <c r="O11" s="14"/>
      <c r="P11" s="14"/>
      <c r="Q11" s="17" t="s">
        <v>464</v>
      </c>
    </row>
    <row r="12" spans="1:17">
      <c r="A12" s="13" t="s">
        <v>465</v>
      </c>
      <c r="B12" s="14" t="s">
        <v>218</v>
      </c>
      <c r="C12" s="15">
        <v>420646.591155183</v>
      </c>
      <c r="D12" s="16">
        <v>0</v>
      </c>
      <c r="E12" s="16" t="s">
        <v>291</v>
      </c>
      <c r="F12" s="16">
        <v>732.4575</v>
      </c>
      <c r="G12" s="16">
        <v>48.64</v>
      </c>
      <c r="H12" s="16">
        <v>19.601658674189</v>
      </c>
      <c r="I12" s="16">
        <v>7.3</v>
      </c>
      <c r="J12" s="16">
        <v>0</v>
      </c>
      <c r="K12" s="14"/>
      <c r="L12" s="14"/>
      <c r="M12" s="14"/>
      <c r="N12" s="14"/>
      <c r="O12" s="14"/>
      <c r="P12" s="14"/>
      <c r="Q12" s="17" t="s">
        <v>466</v>
      </c>
    </row>
    <row r="13" spans="1:17">
      <c r="A13" s="29" t="s">
        <v>467</v>
      </c>
      <c r="B13" s="14" t="s">
        <v>221</v>
      </c>
      <c r="C13" s="15">
        <v>426728.789055123</v>
      </c>
      <c r="D13" s="24">
        <v>0</v>
      </c>
      <c r="E13" s="25" t="s">
        <v>291</v>
      </c>
      <c r="F13" s="19">
        <v>161.3808</v>
      </c>
      <c r="G13" s="19">
        <v>23.8336</v>
      </c>
      <c r="H13" s="27">
        <v>59.6050437235543</v>
      </c>
      <c r="I13" s="20">
        <v>7.3</v>
      </c>
      <c r="J13" s="28">
        <v>0</v>
      </c>
      <c r="K13" s="14"/>
      <c r="L13" s="14"/>
      <c r="M13" s="14"/>
      <c r="N13" s="14"/>
      <c r="O13" s="14"/>
      <c r="P13" s="14"/>
      <c r="Q13" s="17" t="s">
        <v>468</v>
      </c>
    </row>
    <row r="14" ht="28" spans="1:17">
      <c r="A14" s="13" t="s">
        <v>469</v>
      </c>
      <c r="B14" s="14" t="s">
        <v>227</v>
      </c>
      <c r="C14" s="30">
        <v>2640.39313559424</v>
      </c>
      <c r="D14" s="14">
        <v>0</v>
      </c>
      <c r="E14" s="22" t="s">
        <v>291</v>
      </c>
      <c r="F14" s="19">
        <v>103.7448</v>
      </c>
      <c r="G14" s="19">
        <v>13.6192</v>
      </c>
      <c r="H14" s="19">
        <v>24.4020648801128</v>
      </c>
      <c r="I14" s="20">
        <v>7.8</v>
      </c>
      <c r="J14" s="21">
        <v>0</v>
      </c>
      <c r="K14" s="14"/>
      <c r="L14" s="14"/>
      <c r="M14" s="14"/>
      <c r="N14" s="14"/>
      <c r="O14" s="14"/>
      <c r="P14" s="14"/>
      <c r="Q14" s="17" t="s">
        <v>470</v>
      </c>
    </row>
    <row r="15" ht="28" spans="1:17">
      <c r="A15" s="31" t="s">
        <v>471</v>
      </c>
      <c r="B15" s="14" t="s">
        <v>226</v>
      </c>
      <c r="C15" s="30">
        <v>4581.69877331708</v>
      </c>
      <c r="D15" s="32">
        <v>0</v>
      </c>
      <c r="E15" s="22" t="s">
        <v>291</v>
      </c>
      <c r="F15" s="19">
        <v>182.514</v>
      </c>
      <c r="G15" s="19">
        <v>29.6704</v>
      </c>
      <c r="H15" s="19">
        <v>25.6021664315938</v>
      </c>
      <c r="I15" s="26">
        <v>8.1</v>
      </c>
      <c r="J15" s="21">
        <v>0</v>
      </c>
      <c r="K15" s="14"/>
      <c r="L15" s="14"/>
      <c r="M15" s="14"/>
      <c r="N15" s="14"/>
      <c r="O15" s="14"/>
      <c r="P15" s="14"/>
      <c r="Q15" s="17" t="s">
        <v>472</v>
      </c>
    </row>
  </sheetData>
  <sortState ref="A2:Q15">
    <sortCondition ref="B2"/>
  </sortState>
  <conditionalFormatting sqref="K1:P15">
    <cfRule type="cellIs" dxfId="3" priority="1" stopIfTrue="1" operator="notEqual">
      <formula>"无"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441"/>
  <sheetViews>
    <sheetView zoomScale="115" zoomScaleNormal="115" workbookViewId="0">
      <pane ySplit="1" topLeftCell="A17" activePane="bottomLeft" state="frozen"/>
      <selection/>
      <selection pane="bottomLeft" activeCell="A23" sqref="A23:A30"/>
    </sheetView>
  </sheetViews>
  <sheetFormatPr defaultColWidth="9" defaultRowHeight="15"/>
  <cols>
    <col min="1" max="1" width="4.875" style="1" customWidth="1"/>
    <col min="2" max="2" width="19.125" style="1" customWidth="1"/>
    <col min="3" max="3" width="14.25" style="1" customWidth="1"/>
    <col min="4" max="5" width="12.875" style="2" customWidth="1"/>
    <col min="6" max="6" width="13.5" style="1" customWidth="1"/>
    <col min="7" max="7" width="11.875" style="1" customWidth="1"/>
    <col min="8" max="8" width="13.75" style="1" customWidth="1"/>
    <col min="9" max="9" width="14.75" style="1" customWidth="1"/>
    <col min="10" max="10" width="22" style="1" customWidth="1"/>
    <col min="11" max="11" width="13.75" style="1" customWidth="1"/>
    <col min="12" max="16384" width="9" style="1"/>
  </cols>
  <sheetData>
    <row r="1" ht="27" customHeight="1" spans="1:11">
      <c r="A1" s="3" t="s">
        <v>176</v>
      </c>
      <c r="B1" s="3" t="s">
        <v>473</v>
      </c>
      <c r="C1" s="3" t="s">
        <v>474</v>
      </c>
      <c r="D1" s="3" t="s">
        <v>475</v>
      </c>
      <c r="E1" s="3" t="s">
        <v>181</v>
      </c>
      <c r="F1" s="3" t="s">
        <v>476</v>
      </c>
      <c r="G1" s="3" t="s">
        <v>477</v>
      </c>
      <c r="H1" s="3" t="s">
        <v>478</v>
      </c>
      <c r="I1" s="3" t="s">
        <v>479</v>
      </c>
      <c r="J1" s="3" t="s">
        <v>480</v>
      </c>
      <c r="K1" s="3" t="s">
        <v>481</v>
      </c>
    </row>
    <row r="2" spans="1:11">
      <c r="A2" s="4">
        <v>1</v>
      </c>
      <c r="B2" s="5" t="s">
        <v>482</v>
      </c>
      <c r="C2" s="6" t="s">
        <v>483</v>
      </c>
      <c r="D2" s="6">
        <v>52002</v>
      </c>
      <c r="E2" s="7">
        <v>14.29</v>
      </c>
      <c r="F2" s="4" t="s">
        <v>484</v>
      </c>
      <c r="G2" s="4"/>
      <c r="H2" s="4" t="s">
        <v>484</v>
      </c>
      <c r="I2" s="4" t="s">
        <v>484</v>
      </c>
      <c r="J2" s="4" t="s">
        <v>484</v>
      </c>
      <c r="K2" s="4" t="s">
        <v>484</v>
      </c>
    </row>
    <row r="3" spans="1:11">
      <c r="A3" s="4">
        <v>2</v>
      </c>
      <c r="B3" s="5" t="s">
        <v>482</v>
      </c>
      <c r="C3" s="6" t="s">
        <v>485</v>
      </c>
      <c r="D3" s="6">
        <v>53800.7</v>
      </c>
      <c r="E3" s="7">
        <v>61.95</v>
      </c>
      <c r="F3" s="4" t="s">
        <v>484</v>
      </c>
      <c r="G3" s="4"/>
      <c r="H3" s="4" t="s">
        <v>484</v>
      </c>
      <c r="I3" s="4" t="s">
        <v>484</v>
      </c>
      <c r="J3" s="4" t="s">
        <v>484</v>
      </c>
      <c r="K3" s="4" t="s">
        <v>484</v>
      </c>
    </row>
    <row r="4" spans="1:11">
      <c r="A4" s="4">
        <v>3</v>
      </c>
      <c r="B4" s="5" t="s">
        <v>482</v>
      </c>
      <c r="C4" s="6" t="s">
        <v>486</v>
      </c>
      <c r="D4" s="6">
        <v>55715.39</v>
      </c>
      <c r="E4" s="7">
        <v>4.32</v>
      </c>
      <c r="F4" s="8">
        <v>0.44</v>
      </c>
      <c r="G4" s="8" t="s">
        <v>487</v>
      </c>
      <c r="H4" s="8" t="s">
        <v>488</v>
      </c>
      <c r="I4" s="8" t="s">
        <v>489</v>
      </c>
      <c r="J4" s="8" t="s">
        <v>490</v>
      </c>
      <c r="K4" s="8" t="s">
        <v>490</v>
      </c>
    </row>
    <row r="5" spans="1:11">
      <c r="A5" s="4">
        <v>4</v>
      </c>
      <c r="B5" s="5" t="s">
        <v>482</v>
      </c>
      <c r="C5" s="6" t="s">
        <v>491</v>
      </c>
      <c r="D5" s="6">
        <v>59844.3</v>
      </c>
      <c r="E5" s="7">
        <v>-0.75</v>
      </c>
      <c r="F5" s="8" t="s">
        <v>492</v>
      </c>
      <c r="G5" s="8" t="s">
        <v>493</v>
      </c>
      <c r="H5" s="8" t="s">
        <v>494</v>
      </c>
      <c r="I5" s="8" t="s">
        <v>489</v>
      </c>
      <c r="J5" s="8" t="s">
        <v>490</v>
      </c>
      <c r="K5" s="8" t="s">
        <v>490</v>
      </c>
    </row>
    <row r="6" ht="14.25" customHeight="1" spans="1:11">
      <c r="A6" s="4">
        <v>5</v>
      </c>
      <c r="B6" s="5" t="s">
        <v>482</v>
      </c>
      <c r="C6" s="6" t="s">
        <v>495</v>
      </c>
      <c r="D6" s="6">
        <v>62031.24</v>
      </c>
      <c r="E6" s="7">
        <v>-29.8</v>
      </c>
      <c r="F6" s="8" t="s">
        <v>496</v>
      </c>
      <c r="G6" s="8" t="s">
        <v>497</v>
      </c>
      <c r="H6" s="8" t="s">
        <v>498</v>
      </c>
      <c r="I6" s="4" t="s">
        <v>489</v>
      </c>
      <c r="J6" s="4" t="s">
        <v>490</v>
      </c>
      <c r="K6" s="4" t="s">
        <v>490</v>
      </c>
    </row>
    <row r="7" ht="14.25" customHeight="1" spans="1:11">
      <c r="A7" s="4">
        <v>6</v>
      </c>
      <c r="B7" s="5" t="s">
        <v>482</v>
      </c>
      <c r="C7" s="6" t="s">
        <v>499</v>
      </c>
      <c r="D7" s="6">
        <v>64077.56</v>
      </c>
      <c r="E7" s="7">
        <v>4.11</v>
      </c>
      <c r="F7" s="8">
        <v>0.078</v>
      </c>
      <c r="G7" s="8" t="s">
        <v>500</v>
      </c>
      <c r="H7" s="8" t="s">
        <v>488</v>
      </c>
      <c r="I7" s="4" t="s">
        <v>489</v>
      </c>
      <c r="J7" s="4" t="s">
        <v>490</v>
      </c>
      <c r="K7" s="4" t="s">
        <v>490</v>
      </c>
    </row>
    <row r="8" ht="14.25" customHeight="1" spans="1:11">
      <c r="A8" s="4">
        <v>7</v>
      </c>
      <c r="B8" s="5" t="s">
        <v>482</v>
      </c>
      <c r="C8" s="6" t="s">
        <v>501</v>
      </c>
      <c r="D8" s="6">
        <v>65911.64</v>
      </c>
      <c r="E8" s="7">
        <v>17.17</v>
      </c>
      <c r="F8" s="8" t="s">
        <v>502</v>
      </c>
      <c r="G8" s="8" t="s">
        <v>503</v>
      </c>
      <c r="H8" s="8" t="s">
        <v>504</v>
      </c>
      <c r="I8" s="4" t="s">
        <v>489</v>
      </c>
      <c r="J8" s="4" t="s">
        <v>490</v>
      </c>
      <c r="K8" s="4" t="s">
        <v>490</v>
      </c>
    </row>
    <row r="9" ht="14.25" customHeight="1" spans="1:11">
      <c r="A9" s="4">
        <v>8</v>
      </c>
      <c r="B9" s="5" t="s">
        <v>482</v>
      </c>
      <c r="C9" s="6" t="s">
        <v>505</v>
      </c>
      <c r="D9" s="6">
        <v>67695.26</v>
      </c>
      <c r="E9" s="7">
        <v>28.28</v>
      </c>
      <c r="F9" s="8">
        <v>0.053</v>
      </c>
      <c r="G9" s="8" t="s">
        <v>506</v>
      </c>
      <c r="H9" s="8" t="s">
        <v>504</v>
      </c>
      <c r="I9" s="4" t="s">
        <v>489</v>
      </c>
      <c r="J9" s="4" t="s">
        <v>490</v>
      </c>
      <c r="K9" s="4" t="s">
        <v>490</v>
      </c>
    </row>
    <row r="10" ht="14.25" customHeight="1" spans="1:11">
      <c r="A10" s="4">
        <v>9</v>
      </c>
      <c r="B10" s="5" t="s">
        <v>482</v>
      </c>
      <c r="C10" s="6" t="s">
        <v>507</v>
      </c>
      <c r="D10" s="6">
        <v>69454.4</v>
      </c>
      <c r="E10" s="7">
        <v>-8.4</v>
      </c>
      <c r="F10" s="8" t="s">
        <v>484</v>
      </c>
      <c r="G10" s="8"/>
      <c r="H10" s="8" t="s">
        <v>484</v>
      </c>
      <c r="I10" s="8" t="s">
        <v>484</v>
      </c>
      <c r="J10" s="8" t="s">
        <v>484</v>
      </c>
      <c r="K10" s="8" t="s">
        <v>484</v>
      </c>
    </row>
    <row r="11" ht="14.25" customHeight="1" spans="1:11">
      <c r="A11" s="4">
        <v>10</v>
      </c>
      <c r="B11" s="5" t="s">
        <v>482</v>
      </c>
      <c r="C11" s="6" t="s">
        <v>508</v>
      </c>
      <c r="D11" s="6">
        <v>72206.5</v>
      </c>
      <c r="E11" s="7">
        <v>0.75</v>
      </c>
      <c r="F11" s="8" t="s">
        <v>509</v>
      </c>
      <c r="G11" s="8" t="s">
        <v>510</v>
      </c>
      <c r="H11" s="8" t="s">
        <v>511</v>
      </c>
      <c r="I11" s="4" t="s">
        <v>512</v>
      </c>
      <c r="J11" s="8" t="s">
        <v>513</v>
      </c>
      <c r="K11" s="8" t="s">
        <v>513</v>
      </c>
    </row>
    <row r="12" ht="14.25" customHeight="1" spans="1:11">
      <c r="A12" s="4">
        <v>11</v>
      </c>
      <c r="B12" s="5" t="s">
        <v>482</v>
      </c>
      <c r="C12" s="6" t="s">
        <v>514</v>
      </c>
      <c r="D12" s="6">
        <v>73957.07</v>
      </c>
      <c r="E12" s="7">
        <v>17.2</v>
      </c>
      <c r="F12" s="8" t="s">
        <v>484</v>
      </c>
      <c r="G12" s="8"/>
      <c r="H12" s="8" t="s">
        <v>484</v>
      </c>
      <c r="I12" s="8" t="s">
        <v>484</v>
      </c>
      <c r="J12" s="8" t="s">
        <v>484</v>
      </c>
      <c r="K12" s="8" t="s">
        <v>484</v>
      </c>
    </row>
    <row r="13" ht="14.25" customHeight="1" spans="1:11">
      <c r="A13" s="4">
        <v>12</v>
      </c>
      <c r="B13" s="5" t="s">
        <v>482</v>
      </c>
      <c r="C13" s="6" t="s">
        <v>515</v>
      </c>
      <c r="D13" s="6">
        <v>77092.83</v>
      </c>
      <c r="E13" s="7">
        <v>-2.22</v>
      </c>
      <c r="F13" s="8" t="s">
        <v>484</v>
      </c>
      <c r="G13" s="8"/>
      <c r="H13" s="8" t="s">
        <v>484</v>
      </c>
      <c r="I13" s="8" t="s">
        <v>484</v>
      </c>
      <c r="J13" s="8" t="s">
        <v>484</v>
      </c>
      <c r="K13" s="8" t="s">
        <v>484</v>
      </c>
    </row>
    <row r="14" ht="14.25" customHeight="1" spans="1:11">
      <c r="A14" s="4">
        <v>13</v>
      </c>
      <c r="B14" s="5" t="s">
        <v>482</v>
      </c>
      <c r="C14" s="6" t="s">
        <v>516</v>
      </c>
      <c r="D14" s="6">
        <v>78927.19</v>
      </c>
      <c r="E14" s="7">
        <v>7.63</v>
      </c>
      <c r="F14" s="8">
        <v>0.066</v>
      </c>
      <c r="G14" s="8" t="s">
        <v>517</v>
      </c>
      <c r="H14" s="8" t="s">
        <v>504</v>
      </c>
      <c r="I14" s="4" t="s">
        <v>489</v>
      </c>
      <c r="J14" s="4" t="s">
        <v>490</v>
      </c>
      <c r="K14" s="4" t="s">
        <v>490</v>
      </c>
    </row>
    <row r="15" ht="14.25" customHeight="1" spans="1:11">
      <c r="A15" s="4">
        <v>14</v>
      </c>
      <c r="B15" s="5" t="s">
        <v>482</v>
      </c>
      <c r="C15" s="6" t="s">
        <v>518</v>
      </c>
      <c r="D15" s="6">
        <v>80203.84</v>
      </c>
      <c r="E15" s="7">
        <v>-41.4</v>
      </c>
      <c r="F15" s="8" t="s">
        <v>484</v>
      </c>
      <c r="G15" s="8"/>
      <c r="H15" s="8" t="s">
        <v>484</v>
      </c>
      <c r="I15" s="8" t="s">
        <v>484</v>
      </c>
      <c r="J15" s="8" t="s">
        <v>484</v>
      </c>
      <c r="K15" s="8" t="s">
        <v>484</v>
      </c>
    </row>
    <row r="16" ht="14.25" customHeight="1" spans="1:11">
      <c r="A16" s="4">
        <v>15</v>
      </c>
      <c r="B16" s="5" t="s">
        <v>482</v>
      </c>
      <c r="C16" s="6" t="s">
        <v>519</v>
      </c>
      <c r="D16" s="6">
        <v>81205.44</v>
      </c>
      <c r="E16" s="7">
        <v>4.9</v>
      </c>
      <c r="F16" s="8" t="s">
        <v>520</v>
      </c>
      <c r="G16" s="8" t="s">
        <v>521</v>
      </c>
      <c r="H16" s="8" t="s">
        <v>511</v>
      </c>
      <c r="I16" s="4" t="s">
        <v>512</v>
      </c>
      <c r="J16" s="8" t="s">
        <v>513</v>
      </c>
      <c r="K16" s="8" t="s">
        <v>513</v>
      </c>
    </row>
    <row r="17" ht="14.25" customHeight="1" spans="1:11">
      <c r="A17" s="4">
        <v>16</v>
      </c>
      <c r="B17" s="5" t="s">
        <v>482</v>
      </c>
      <c r="C17" s="6" t="s">
        <v>522</v>
      </c>
      <c r="D17" s="6">
        <v>53856.46</v>
      </c>
      <c r="E17" s="7">
        <v>5.83</v>
      </c>
      <c r="F17" s="8" t="s">
        <v>484</v>
      </c>
      <c r="G17" s="8"/>
      <c r="H17" s="8" t="s">
        <v>484</v>
      </c>
      <c r="I17" s="8" t="s">
        <v>484</v>
      </c>
      <c r="J17" s="8" t="s">
        <v>484</v>
      </c>
      <c r="K17" s="8" t="s">
        <v>484</v>
      </c>
    </row>
    <row r="18" ht="14.25" customHeight="1" spans="1:11">
      <c r="A18" s="4">
        <v>17</v>
      </c>
      <c r="B18" s="5" t="s">
        <v>482</v>
      </c>
      <c r="C18" s="6" t="s">
        <v>523</v>
      </c>
      <c r="D18" s="6">
        <v>58885.31</v>
      </c>
      <c r="E18" s="7">
        <v>-55.35</v>
      </c>
      <c r="F18" s="8">
        <v>0.049</v>
      </c>
      <c r="G18" s="8" t="s">
        <v>524</v>
      </c>
      <c r="H18" s="8" t="s">
        <v>504</v>
      </c>
      <c r="I18" s="4" t="s">
        <v>489</v>
      </c>
      <c r="J18" s="4" t="s">
        <v>490</v>
      </c>
      <c r="K18" s="4" t="s">
        <v>490</v>
      </c>
    </row>
    <row r="19" ht="14.25" customHeight="1" spans="1:11">
      <c r="A19" s="4">
        <v>18</v>
      </c>
      <c r="B19" s="5" t="s">
        <v>482</v>
      </c>
      <c r="C19" s="6" t="s">
        <v>525</v>
      </c>
      <c r="D19" s="6">
        <v>63299.76</v>
      </c>
      <c r="E19" s="7">
        <v>271.85</v>
      </c>
      <c r="F19" s="8" t="s">
        <v>526</v>
      </c>
      <c r="G19" s="8" t="s">
        <v>524</v>
      </c>
      <c r="H19" s="8" t="s">
        <v>511</v>
      </c>
      <c r="I19" s="4" t="s">
        <v>489</v>
      </c>
      <c r="J19" s="4" t="s">
        <v>490</v>
      </c>
      <c r="K19" s="4" t="s">
        <v>490</v>
      </c>
    </row>
    <row r="20" ht="14.25" customHeight="1" spans="1:11">
      <c r="A20" s="4">
        <v>19</v>
      </c>
      <c r="B20" s="5" t="s">
        <v>482</v>
      </c>
      <c r="C20" s="6" t="s">
        <v>527</v>
      </c>
      <c r="D20" s="6">
        <v>67742.91</v>
      </c>
      <c r="E20" s="7">
        <v>28.94</v>
      </c>
      <c r="F20" s="8" t="s">
        <v>528</v>
      </c>
      <c r="G20" s="8" t="s">
        <v>529</v>
      </c>
      <c r="H20" s="8" t="s">
        <v>494</v>
      </c>
      <c r="I20" s="4" t="s">
        <v>489</v>
      </c>
      <c r="J20" s="4" t="s">
        <v>490</v>
      </c>
      <c r="K20" s="4" t="s">
        <v>490</v>
      </c>
    </row>
    <row r="21" ht="14.25" customHeight="1" spans="1:11">
      <c r="A21" s="4">
        <v>20</v>
      </c>
      <c r="B21" s="5" t="s">
        <v>482</v>
      </c>
      <c r="C21" s="6" t="s">
        <v>530</v>
      </c>
      <c r="D21" s="6">
        <v>73636.75</v>
      </c>
      <c r="E21" s="7">
        <v>86.23</v>
      </c>
      <c r="F21" s="8" t="s">
        <v>531</v>
      </c>
      <c r="G21" s="8" t="s">
        <v>532</v>
      </c>
      <c r="H21" s="8" t="s">
        <v>511</v>
      </c>
      <c r="I21" s="4" t="s">
        <v>489</v>
      </c>
      <c r="J21" s="4" t="s">
        <v>513</v>
      </c>
      <c r="K21" s="4" t="s">
        <v>490</v>
      </c>
    </row>
    <row r="22" ht="14.25" customHeight="1" spans="1:11">
      <c r="A22" s="4">
        <v>21</v>
      </c>
      <c r="B22" s="5" t="s">
        <v>482</v>
      </c>
      <c r="C22" s="6" t="s">
        <v>533</v>
      </c>
      <c r="D22" s="6">
        <v>78864.7</v>
      </c>
      <c r="E22" s="7"/>
      <c r="F22" s="8">
        <v>0.047</v>
      </c>
      <c r="G22" s="8" t="s">
        <v>534</v>
      </c>
      <c r="H22" s="8" t="s">
        <v>504</v>
      </c>
      <c r="I22" s="4" t="s">
        <v>489</v>
      </c>
      <c r="J22" s="4" t="s">
        <v>490</v>
      </c>
      <c r="K22" s="4" t="s">
        <v>490</v>
      </c>
    </row>
    <row r="23" ht="14.25" customHeight="1" spans="1:11">
      <c r="A23" s="4"/>
      <c r="B23" s="4"/>
      <c r="C23" s="6"/>
      <c r="D23" s="6"/>
      <c r="E23" s="6"/>
      <c r="F23" s="8"/>
      <c r="G23" s="8"/>
      <c r="H23" s="8"/>
      <c r="I23" s="8"/>
      <c r="J23" s="8"/>
      <c r="K23" s="8"/>
    </row>
    <row r="24" spans="1:11">
      <c r="A24" s="8"/>
      <c r="B24" s="8"/>
      <c r="C24" s="6"/>
      <c r="D24" s="6"/>
      <c r="E24" s="6"/>
      <c r="F24" s="8"/>
      <c r="G24" s="8"/>
      <c r="H24" s="8"/>
      <c r="I24" s="8"/>
      <c r="J24" s="8"/>
      <c r="K24" s="8"/>
    </row>
    <row r="25" spans="1:11">
      <c r="A25" s="4"/>
      <c r="B25" s="4"/>
      <c r="C25" s="6"/>
      <c r="D25" s="6"/>
      <c r="E25" s="6"/>
      <c r="F25" s="8"/>
      <c r="G25" s="8"/>
      <c r="H25" s="8"/>
      <c r="I25" s="8"/>
      <c r="J25" s="8"/>
      <c r="K25" s="8"/>
    </row>
    <row r="26" spans="1:11">
      <c r="A26" s="8"/>
      <c r="B26" s="8"/>
      <c r="C26" s="6"/>
      <c r="D26" s="6"/>
      <c r="E26" s="6"/>
      <c r="F26" s="8"/>
      <c r="G26" s="8"/>
      <c r="H26" s="8"/>
      <c r="I26" s="8"/>
      <c r="J26" s="8"/>
      <c r="K26" s="8"/>
    </row>
    <row r="27" spans="1:11">
      <c r="A27" s="4"/>
      <c r="B27" s="4"/>
      <c r="C27" s="6"/>
      <c r="D27" s="6"/>
      <c r="E27" s="6"/>
      <c r="F27" s="8"/>
      <c r="G27" s="8"/>
      <c r="H27" s="8"/>
      <c r="I27" s="8"/>
      <c r="J27" s="8"/>
      <c r="K27" s="8"/>
    </row>
    <row r="28" spans="1:11">
      <c r="A28" s="8"/>
      <c r="B28" s="8"/>
      <c r="C28" s="6"/>
      <c r="D28" s="6"/>
      <c r="E28" s="6"/>
      <c r="F28" s="8"/>
      <c r="G28" s="8"/>
      <c r="H28" s="8"/>
      <c r="I28" s="8"/>
      <c r="J28" s="8"/>
      <c r="K28" s="8"/>
    </row>
    <row r="29" spans="1:11">
      <c r="A29" s="4"/>
      <c r="B29" s="4"/>
      <c r="C29" s="6"/>
      <c r="D29" s="6"/>
      <c r="E29" s="6"/>
      <c r="F29" s="8"/>
      <c r="G29" s="8"/>
      <c r="H29" s="8"/>
      <c r="I29" s="8"/>
      <c r="J29" s="8"/>
      <c r="K29" s="8"/>
    </row>
    <row r="30" spans="1:11">
      <c r="A30" s="8"/>
      <c r="B30" s="8"/>
      <c r="C30" s="6"/>
      <c r="D30" s="6"/>
      <c r="E30" s="6"/>
      <c r="F30" s="8"/>
      <c r="G30" s="8"/>
      <c r="H30" s="8"/>
      <c r="I30" s="8"/>
      <c r="J30" s="8"/>
      <c r="K30" s="8"/>
    </row>
    <row r="31" spans="1:11">
      <c r="A31" s="9"/>
      <c r="B31" s="9"/>
      <c r="C31" s="10"/>
    </row>
    <row r="32" spans="1:11">
      <c r="A32" s="9"/>
      <c r="B32" s="9"/>
      <c r="C32" s="10"/>
    </row>
    <row r="33" spans="1:5">
      <c r="A33" s="9"/>
      <c r="B33" s="9"/>
      <c r="C33" s="10"/>
    </row>
    <row r="34" spans="1:5">
      <c r="A34" s="9"/>
      <c r="B34" s="9"/>
      <c r="C34" s="10"/>
    </row>
    <row r="35" spans="1:5">
      <c r="A35" s="9"/>
      <c r="B35" s="9"/>
      <c r="C35" s="10"/>
    </row>
    <row r="36" spans="1:5">
      <c r="A36" s="9"/>
      <c r="B36" s="9"/>
      <c r="C36" s="10"/>
    </row>
    <row r="37" spans="1:5">
      <c r="A37" s="9"/>
      <c r="B37" s="9"/>
      <c r="C37" s="10"/>
    </row>
    <row r="38" spans="1:5">
      <c r="A38" s="9"/>
      <c r="B38" s="9"/>
      <c r="C38" s="10"/>
    </row>
    <row r="39" spans="1:5">
      <c r="A39" s="9"/>
      <c r="B39" s="9"/>
      <c r="C39" s="10"/>
    </row>
    <row r="40" spans="1:5">
      <c r="A40" s="9"/>
      <c r="B40" s="9"/>
      <c r="C40" s="10"/>
    </row>
    <row r="41" spans="1:5">
      <c r="A41" s="9"/>
      <c r="B41" s="9"/>
      <c r="C41" s="10"/>
    </row>
    <row r="42" spans="1:5">
      <c r="A42" s="9"/>
      <c r="B42" s="9"/>
      <c r="C42" s="10"/>
    </row>
    <row r="43" spans="1:5">
      <c r="A43" s="9"/>
      <c r="B43" s="9"/>
      <c r="C43" s="10"/>
    </row>
    <row r="44" spans="1:5">
      <c r="A44" s="9"/>
      <c r="B44" s="9"/>
      <c r="C44" s="10"/>
      <c r="D44" s="1"/>
      <c r="E44" s="1"/>
    </row>
    <row r="45" spans="1:5">
      <c r="A45" s="9"/>
      <c r="B45" s="9"/>
      <c r="C45" s="10"/>
      <c r="D45" s="1"/>
      <c r="E45" s="1"/>
    </row>
    <row r="46" spans="1:5">
      <c r="A46" s="9"/>
      <c r="B46" s="9"/>
      <c r="C46" s="10"/>
      <c r="D46" s="1"/>
      <c r="E46" s="1"/>
    </row>
    <row r="47" spans="1:5">
      <c r="A47" s="9"/>
      <c r="B47" s="9"/>
      <c r="C47" s="10"/>
      <c r="D47" s="1"/>
      <c r="E47" s="1"/>
    </row>
    <row r="48" spans="1:5">
      <c r="A48" s="9"/>
      <c r="B48" s="9"/>
      <c r="C48" s="10"/>
      <c r="D48" s="1"/>
      <c r="E48" s="1"/>
    </row>
    <row r="49" spans="1:5">
      <c r="A49" s="9"/>
      <c r="B49" s="9"/>
      <c r="C49" s="10"/>
      <c r="D49" s="1"/>
      <c r="E49" s="1"/>
    </row>
    <row r="50" spans="1:5">
      <c r="A50" s="9"/>
      <c r="B50" s="9"/>
      <c r="C50" s="10"/>
      <c r="D50" s="1"/>
      <c r="E50" s="1"/>
    </row>
    <row r="51" spans="1:5">
      <c r="A51" s="9"/>
      <c r="B51" s="9"/>
      <c r="C51" s="10"/>
      <c r="D51" s="1"/>
      <c r="E51" s="1"/>
    </row>
    <row r="52" spans="1:5">
      <c r="A52" s="9"/>
      <c r="B52" s="9"/>
      <c r="C52" s="10"/>
      <c r="D52" s="1"/>
      <c r="E52" s="1"/>
    </row>
    <row r="53" spans="1:5">
      <c r="A53" s="9"/>
      <c r="B53" s="9"/>
      <c r="C53" s="10"/>
      <c r="D53" s="1"/>
      <c r="E53" s="1"/>
    </row>
    <row r="54" spans="1:5">
      <c r="A54" s="9"/>
      <c r="B54" s="9"/>
      <c r="C54" s="10"/>
      <c r="D54" s="1"/>
      <c r="E54" s="1"/>
    </row>
    <row r="55" spans="1:5">
      <c r="A55" s="9"/>
      <c r="B55" s="9"/>
      <c r="C55" s="10"/>
      <c r="D55" s="1"/>
      <c r="E55" s="1"/>
    </row>
    <row r="56" spans="1:5">
      <c r="A56" s="9"/>
      <c r="B56" s="9"/>
      <c r="C56" s="10"/>
      <c r="D56" s="1"/>
      <c r="E56" s="1"/>
    </row>
    <row r="57" spans="1:5">
      <c r="A57" s="9"/>
      <c r="B57" s="9"/>
      <c r="C57" s="10"/>
      <c r="D57" s="1"/>
      <c r="E57" s="1"/>
    </row>
    <row r="58" spans="1:5">
      <c r="A58" s="9"/>
      <c r="B58" s="9"/>
      <c r="C58" s="10"/>
      <c r="D58" s="1"/>
      <c r="E58" s="1"/>
    </row>
    <row r="59" spans="1:5">
      <c r="A59" s="9"/>
      <c r="B59" s="9"/>
      <c r="C59" s="10"/>
      <c r="D59" s="1"/>
      <c r="E59" s="1"/>
    </row>
    <row r="60" spans="1:5">
      <c r="A60" s="9"/>
      <c r="B60" s="9"/>
      <c r="C60" s="10"/>
      <c r="D60" s="1"/>
      <c r="E60" s="1"/>
    </row>
    <row r="61" spans="1:5">
      <c r="A61" s="9"/>
      <c r="B61" s="9"/>
      <c r="C61" s="10"/>
      <c r="D61" s="1"/>
      <c r="E61" s="1"/>
    </row>
    <row r="62" spans="1:5">
      <c r="A62" s="9"/>
      <c r="B62" s="9"/>
      <c r="C62" s="10"/>
      <c r="D62" s="1"/>
      <c r="E62" s="1"/>
    </row>
    <row r="63" spans="1:5">
      <c r="A63" s="9"/>
      <c r="B63" s="9"/>
      <c r="C63" s="10"/>
      <c r="D63" s="1"/>
      <c r="E63" s="1"/>
    </row>
    <row r="64" spans="1:5">
      <c r="A64" s="9"/>
      <c r="B64" s="9"/>
      <c r="C64" s="10"/>
      <c r="D64" s="1"/>
      <c r="E64" s="1"/>
    </row>
    <row r="65" spans="1:5">
      <c r="A65" s="9"/>
      <c r="B65" s="9"/>
      <c r="C65" s="10"/>
      <c r="D65" s="1"/>
      <c r="E65" s="1"/>
    </row>
    <row r="66" spans="1:5">
      <c r="A66" s="9"/>
      <c r="B66" s="9"/>
      <c r="C66" s="10"/>
      <c r="D66" s="1"/>
      <c r="E66" s="1"/>
    </row>
    <row r="67" spans="1:5">
      <c r="A67" s="9"/>
      <c r="B67" s="9"/>
      <c r="C67" s="10"/>
      <c r="D67" s="1"/>
      <c r="E67" s="1"/>
    </row>
    <row r="68" spans="1:5">
      <c r="A68" s="9"/>
      <c r="B68" s="9"/>
      <c r="C68" s="10"/>
      <c r="D68" s="1"/>
      <c r="E68" s="1"/>
    </row>
    <row r="69" spans="1:5">
      <c r="A69" s="9"/>
      <c r="B69" s="9"/>
      <c r="C69" s="10"/>
      <c r="D69" s="1"/>
      <c r="E69" s="1"/>
    </row>
    <row r="70" spans="1:5">
      <c r="A70" s="9"/>
      <c r="B70" s="9"/>
      <c r="C70" s="10"/>
      <c r="D70" s="1"/>
      <c r="E70" s="1"/>
    </row>
    <row r="71" spans="1:5">
      <c r="A71" s="9"/>
      <c r="B71" s="9"/>
      <c r="C71" s="10"/>
      <c r="D71" s="1"/>
      <c r="E71" s="1"/>
    </row>
    <row r="72" spans="1:5">
      <c r="A72" s="9"/>
      <c r="B72" s="9"/>
      <c r="C72" s="10"/>
      <c r="D72" s="1"/>
      <c r="E72" s="1"/>
    </row>
    <row r="73" spans="1:5">
      <c r="A73" s="9"/>
      <c r="B73" s="9"/>
      <c r="C73" s="10"/>
      <c r="D73" s="1"/>
      <c r="E73" s="1"/>
    </row>
    <row r="74" spans="1:5">
      <c r="A74" s="9"/>
      <c r="B74" s="9"/>
      <c r="C74" s="10"/>
      <c r="D74" s="1"/>
      <c r="E74" s="1"/>
    </row>
    <row r="75" spans="1:5">
      <c r="A75" s="9"/>
      <c r="B75" s="9"/>
      <c r="C75" s="10"/>
      <c r="D75" s="1"/>
      <c r="E75" s="1"/>
    </row>
    <row r="76" spans="1:5">
      <c r="A76" s="9"/>
      <c r="B76" s="9"/>
      <c r="C76" s="10"/>
      <c r="D76" s="1"/>
      <c r="E76" s="1"/>
    </row>
    <row r="77" spans="1:5">
      <c r="A77" s="9"/>
      <c r="B77" s="9"/>
      <c r="C77" s="10"/>
      <c r="D77" s="1"/>
      <c r="E77" s="1"/>
    </row>
    <row r="78" spans="1:5">
      <c r="A78" s="9"/>
      <c r="B78" s="9"/>
      <c r="C78" s="10"/>
      <c r="D78" s="1"/>
      <c r="E78" s="1"/>
    </row>
    <row r="79" spans="1:5">
      <c r="A79" s="9"/>
      <c r="B79" s="9"/>
      <c r="C79" s="10"/>
      <c r="D79" s="1"/>
      <c r="E79" s="1"/>
    </row>
    <row r="80" spans="1:5">
      <c r="A80" s="9"/>
      <c r="B80" s="9"/>
      <c r="C80" s="10"/>
      <c r="D80" s="1"/>
      <c r="E80" s="1"/>
    </row>
    <row r="81" spans="1:5">
      <c r="A81" s="9"/>
      <c r="B81" s="9"/>
      <c r="C81" s="10"/>
      <c r="D81" s="1"/>
      <c r="E81" s="1"/>
    </row>
    <row r="82" spans="1:5">
      <c r="A82" s="9"/>
      <c r="B82" s="9"/>
      <c r="C82" s="10"/>
      <c r="D82" s="1"/>
      <c r="E82" s="1"/>
    </row>
    <row r="83" spans="1:5">
      <c r="A83" s="9"/>
      <c r="B83" s="9"/>
      <c r="C83" s="10"/>
      <c r="D83" s="1"/>
      <c r="E83" s="1"/>
    </row>
    <row r="84" spans="1:5">
      <c r="A84" s="9"/>
      <c r="B84" s="9"/>
      <c r="C84" s="10"/>
      <c r="D84" s="1"/>
      <c r="E84" s="1"/>
    </row>
    <row r="85" spans="1:5">
      <c r="A85" s="9"/>
      <c r="B85" s="9"/>
      <c r="C85" s="10"/>
      <c r="D85" s="1"/>
      <c r="E85" s="1"/>
    </row>
    <row r="86" spans="1:5">
      <c r="A86" s="9"/>
      <c r="B86" s="9"/>
      <c r="C86" s="10"/>
      <c r="D86" s="1"/>
      <c r="E86" s="1"/>
    </row>
    <row r="87" spans="1:5">
      <c r="A87" s="9"/>
      <c r="B87" s="9"/>
      <c r="C87" s="10"/>
      <c r="D87" s="1"/>
      <c r="E87" s="1"/>
    </row>
    <row r="88" spans="1:5">
      <c r="A88" s="9"/>
      <c r="B88" s="9"/>
      <c r="C88" s="10"/>
      <c r="D88" s="1"/>
      <c r="E88" s="1"/>
    </row>
    <row r="89" spans="1:5">
      <c r="A89" s="9"/>
      <c r="B89" s="9"/>
      <c r="C89" s="10"/>
      <c r="D89" s="1"/>
      <c r="E89" s="1"/>
    </row>
    <row r="90" spans="1:5">
      <c r="A90" s="9"/>
      <c r="B90" s="9"/>
      <c r="C90" s="10"/>
      <c r="D90" s="1"/>
      <c r="E90" s="1"/>
    </row>
    <row r="91" spans="1:5">
      <c r="A91" s="9"/>
      <c r="B91" s="9"/>
      <c r="C91" s="10"/>
      <c r="D91" s="1"/>
      <c r="E91" s="1"/>
    </row>
    <row r="92" spans="1:5">
      <c r="A92" s="9"/>
      <c r="B92" s="9"/>
      <c r="C92" s="10"/>
      <c r="D92" s="1"/>
      <c r="E92" s="1"/>
    </row>
    <row r="93" spans="1:5">
      <c r="A93" s="9"/>
      <c r="B93" s="9"/>
      <c r="C93" s="10"/>
      <c r="D93" s="1"/>
      <c r="E93" s="1"/>
    </row>
    <row r="94" spans="1:5">
      <c r="A94" s="9"/>
      <c r="B94" s="9"/>
      <c r="C94" s="10"/>
      <c r="D94" s="1"/>
      <c r="E94" s="1"/>
    </row>
    <row r="95" spans="1:5">
      <c r="A95" s="9"/>
      <c r="B95" s="9"/>
      <c r="C95" s="10"/>
      <c r="D95" s="1"/>
      <c r="E95" s="1"/>
    </row>
    <row r="96" spans="1:5">
      <c r="A96" s="9"/>
      <c r="B96" s="9"/>
      <c r="C96" s="10"/>
      <c r="D96" s="1"/>
      <c r="E96" s="1"/>
    </row>
    <row r="97" spans="1:5">
      <c r="A97" s="9"/>
      <c r="B97" s="9"/>
      <c r="C97" s="10"/>
      <c r="D97" s="1"/>
      <c r="E97" s="1"/>
    </row>
    <row r="98" spans="1:5">
      <c r="A98" s="9"/>
      <c r="B98" s="9"/>
      <c r="C98" s="10"/>
      <c r="D98" s="1"/>
      <c r="E98" s="1"/>
    </row>
    <row r="99" spans="1:5">
      <c r="A99" s="9"/>
      <c r="B99" s="9"/>
      <c r="C99" s="10"/>
      <c r="D99" s="1"/>
      <c r="E99" s="1"/>
    </row>
    <row r="100" spans="1:5">
      <c r="A100" s="9"/>
      <c r="B100" s="9"/>
      <c r="C100" s="10"/>
      <c r="D100" s="1"/>
      <c r="E100" s="1"/>
    </row>
    <row r="101" spans="1:5">
      <c r="A101" s="9"/>
      <c r="B101" s="9"/>
      <c r="C101" s="10"/>
      <c r="D101" s="1"/>
      <c r="E101" s="1"/>
    </row>
    <row r="102" spans="1:5">
      <c r="A102" s="9"/>
      <c r="B102" s="9"/>
      <c r="C102" s="10"/>
      <c r="D102" s="1"/>
      <c r="E102" s="1"/>
    </row>
    <row r="103" spans="1:5">
      <c r="A103" s="9"/>
      <c r="B103" s="9"/>
      <c r="C103" s="10"/>
      <c r="D103" s="1"/>
      <c r="E103" s="1"/>
    </row>
    <row r="104" spans="1:5">
      <c r="A104" s="9"/>
      <c r="B104" s="9"/>
      <c r="C104" s="10"/>
      <c r="D104" s="1"/>
      <c r="E104" s="1"/>
    </row>
    <row r="105" spans="1:5">
      <c r="A105" s="9"/>
      <c r="B105" s="9"/>
      <c r="C105" s="10"/>
      <c r="D105" s="1"/>
      <c r="E105" s="1"/>
    </row>
    <row r="106" spans="1:5">
      <c r="A106" s="9"/>
      <c r="B106" s="9"/>
      <c r="C106" s="10"/>
      <c r="D106" s="1"/>
      <c r="E106" s="1"/>
    </row>
    <row r="107" spans="1:5">
      <c r="A107" s="9"/>
      <c r="B107" s="9"/>
      <c r="C107" s="10"/>
      <c r="D107" s="1"/>
      <c r="E107" s="1"/>
    </row>
    <row r="108" spans="1:5">
      <c r="A108" s="9"/>
      <c r="B108" s="9"/>
      <c r="C108" s="10"/>
      <c r="D108" s="1"/>
      <c r="E108" s="1"/>
    </row>
    <row r="109" spans="1:5">
      <c r="A109" s="9"/>
      <c r="B109" s="9"/>
      <c r="C109" s="10"/>
      <c r="D109" s="1"/>
      <c r="E109" s="1"/>
    </row>
    <row r="110" spans="1:5">
      <c r="A110" s="9"/>
      <c r="B110" s="9"/>
      <c r="C110" s="10"/>
      <c r="D110" s="1"/>
      <c r="E110" s="1"/>
    </row>
    <row r="111" spans="1:5">
      <c r="A111" s="9"/>
      <c r="B111" s="9"/>
      <c r="C111" s="10"/>
      <c r="D111" s="1"/>
      <c r="E111" s="1"/>
    </row>
    <row r="112" spans="1:5">
      <c r="A112" s="9"/>
      <c r="B112" s="9"/>
      <c r="C112" s="10"/>
      <c r="D112" s="1"/>
      <c r="E112" s="1"/>
    </row>
    <row r="113" spans="1:5">
      <c r="A113" s="9"/>
      <c r="B113" s="9"/>
      <c r="C113" s="10"/>
      <c r="D113" s="1"/>
      <c r="E113" s="1"/>
    </row>
    <row r="114" spans="1:5">
      <c r="A114" s="9"/>
      <c r="B114" s="9"/>
      <c r="C114" s="10"/>
      <c r="D114" s="1"/>
      <c r="E114" s="1"/>
    </row>
    <row r="115" spans="1:5">
      <c r="A115" s="9"/>
      <c r="B115" s="9"/>
      <c r="C115" s="10"/>
      <c r="D115" s="1"/>
      <c r="E115" s="1"/>
    </row>
    <row r="116" spans="1:5">
      <c r="A116" s="9"/>
      <c r="B116" s="9"/>
      <c r="C116" s="10"/>
      <c r="D116" s="1"/>
      <c r="E116" s="1"/>
    </row>
    <row r="117" spans="1:5">
      <c r="A117" s="9"/>
      <c r="B117" s="9"/>
      <c r="C117" s="10"/>
      <c r="D117" s="1"/>
      <c r="E117" s="1"/>
    </row>
    <row r="118" spans="1:5">
      <c r="A118" s="9"/>
      <c r="B118" s="9"/>
      <c r="C118" s="10"/>
      <c r="D118" s="1"/>
      <c r="E118" s="1"/>
    </row>
    <row r="119" spans="1:5">
      <c r="A119" s="9"/>
      <c r="B119" s="9"/>
      <c r="C119" s="10"/>
      <c r="D119" s="1"/>
      <c r="E119" s="1"/>
    </row>
    <row r="120" spans="1:5">
      <c r="A120" s="9"/>
      <c r="B120" s="9"/>
      <c r="C120" s="10"/>
      <c r="D120" s="1"/>
      <c r="E120" s="1"/>
    </row>
    <row r="121" spans="1:5">
      <c r="A121" s="9"/>
      <c r="B121" s="9"/>
      <c r="C121" s="10"/>
      <c r="D121" s="1"/>
      <c r="E121" s="1"/>
    </row>
    <row r="122" spans="1:5">
      <c r="A122" s="9"/>
      <c r="B122" s="9"/>
      <c r="C122" s="10"/>
      <c r="D122" s="1"/>
      <c r="E122" s="1"/>
    </row>
    <row r="123" spans="1:5">
      <c r="A123" s="9"/>
      <c r="B123" s="9"/>
      <c r="C123" s="10"/>
      <c r="D123" s="1"/>
      <c r="E123" s="1"/>
    </row>
    <row r="124" spans="1:5">
      <c r="A124" s="9"/>
      <c r="B124" s="9"/>
      <c r="C124" s="11"/>
      <c r="D124" s="1"/>
      <c r="E124" s="1"/>
    </row>
    <row r="125" spans="1:5">
      <c r="A125" s="9"/>
      <c r="B125" s="9"/>
      <c r="C125" s="11"/>
      <c r="D125" s="1"/>
      <c r="E125" s="1"/>
    </row>
    <row r="126" spans="1:5">
      <c r="A126" s="9"/>
      <c r="B126" s="9"/>
      <c r="C126" s="11"/>
      <c r="D126" s="1"/>
      <c r="E126" s="1"/>
    </row>
    <row r="127" spans="1:5">
      <c r="A127" s="9"/>
      <c r="B127" s="9"/>
      <c r="C127" s="10"/>
      <c r="D127" s="1"/>
      <c r="E127" s="1"/>
    </row>
    <row r="128" spans="1:5">
      <c r="A128" s="9"/>
      <c r="B128" s="9"/>
      <c r="C128" s="10"/>
      <c r="D128" s="1"/>
      <c r="E128" s="1"/>
    </row>
    <row r="129" spans="1:5">
      <c r="A129" s="9"/>
      <c r="B129" s="9"/>
      <c r="C129" s="10"/>
      <c r="D129" s="1"/>
      <c r="E129" s="1"/>
    </row>
    <row r="130" spans="1:5">
      <c r="A130" s="9"/>
      <c r="B130" s="9"/>
      <c r="C130" s="10"/>
      <c r="D130" s="1"/>
      <c r="E130" s="1"/>
    </row>
    <row r="131" spans="1:5">
      <c r="A131" s="9"/>
      <c r="B131" s="9"/>
      <c r="C131" s="10"/>
      <c r="D131" s="1"/>
      <c r="E131" s="1"/>
    </row>
    <row r="132" spans="1:5">
      <c r="A132" s="9"/>
      <c r="B132" s="9"/>
      <c r="D132" s="1"/>
      <c r="E132" s="1"/>
    </row>
    <row r="133" spans="1:5">
      <c r="A133" s="9"/>
      <c r="B133" s="9"/>
      <c r="D133" s="1"/>
      <c r="E133" s="1"/>
    </row>
    <row r="134" spans="1:5">
      <c r="A134" s="9"/>
      <c r="B134" s="9"/>
      <c r="D134" s="1"/>
      <c r="E134" s="1"/>
    </row>
    <row r="135" spans="1:5">
      <c r="A135" s="9"/>
      <c r="B135" s="9"/>
      <c r="D135" s="1"/>
      <c r="E135" s="1"/>
    </row>
    <row r="136" spans="1:5">
      <c r="A136" s="9"/>
      <c r="B136" s="9"/>
      <c r="D136" s="1"/>
      <c r="E136" s="1"/>
    </row>
    <row r="137" spans="1:5">
      <c r="A137" s="9"/>
      <c r="B137" s="9"/>
      <c r="D137" s="1"/>
      <c r="E137" s="1"/>
    </row>
    <row r="138" spans="1:5">
      <c r="A138" s="9"/>
      <c r="B138" s="9"/>
      <c r="C138" s="10"/>
      <c r="D138" s="1"/>
      <c r="E138" s="1"/>
    </row>
    <row r="139" spans="1:5">
      <c r="A139" s="9"/>
      <c r="B139" s="9"/>
      <c r="D139" s="1"/>
      <c r="E139" s="1"/>
    </row>
    <row r="140" spans="1:5">
      <c r="A140" s="9"/>
      <c r="B140" s="9"/>
      <c r="D140" s="1"/>
      <c r="E140" s="1"/>
    </row>
    <row r="141" spans="1:5">
      <c r="A141" s="9"/>
      <c r="B141" s="9"/>
      <c r="D141" s="1"/>
      <c r="E141" s="1"/>
    </row>
    <row r="142" spans="1:5">
      <c r="A142" s="9"/>
      <c r="B142" s="9"/>
      <c r="D142" s="1"/>
      <c r="E142" s="1"/>
    </row>
    <row r="143" spans="1:5">
      <c r="A143" s="9"/>
      <c r="B143" s="9"/>
      <c r="D143" s="1"/>
      <c r="E143" s="1"/>
    </row>
    <row r="144" spans="1:5">
      <c r="A144" s="9"/>
      <c r="B144" s="9"/>
      <c r="D144" s="1"/>
      <c r="E144" s="1"/>
    </row>
    <row r="145" spans="1:5">
      <c r="A145" s="9"/>
      <c r="B145" s="9"/>
      <c r="C145" s="10"/>
      <c r="D145" s="1"/>
      <c r="E145" s="1"/>
    </row>
    <row r="146" spans="1:5">
      <c r="A146" s="9"/>
      <c r="B146" s="9"/>
      <c r="C146" s="10"/>
      <c r="D146" s="1"/>
      <c r="E146" s="1"/>
    </row>
    <row r="147" spans="1:5">
      <c r="A147" s="9"/>
      <c r="B147" s="9"/>
      <c r="C147" s="10"/>
      <c r="D147" s="1"/>
      <c r="E147" s="1"/>
    </row>
    <row r="148" spans="1:5">
      <c r="A148" s="9"/>
      <c r="B148" s="9"/>
      <c r="C148" s="10"/>
      <c r="D148" s="1"/>
      <c r="E148" s="1"/>
    </row>
    <row r="149" spans="1:5">
      <c r="A149" s="9"/>
      <c r="B149" s="9"/>
      <c r="C149" s="10"/>
      <c r="D149" s="1"/>
      <c r="E149" s="1"/>
    </row>
    <row r="150" spans="1:5">
      <c r="A150" s="9"/>
      <c r="B150" s="9"/>
      <c r="C150" s="10"/>
      <c r="D150" s="1"/>
      <c r="E150" s="1"/>
    </row>
    <row r="151" spans="1:5">
      <c r="A151" s="9"/>
      <c r="B151" s="9"/>
      <c r="C151" s="10"/>
      <c r="D151" s="1"/>
      <c r="E151" s="1"/>
    </row>
    <row r="152" spans="1:5">
      <c r="A152" s="9"/>
      <c r="B152" s="9"/>
      <c r="C152" s="10"/>
      <c r="D152" s="1"/>
      <c r="E152" s="1"/>
    </row>
    <row r="153" spans="1:5">
      <c r="A153" s="9"/>
      <c r="B153" s="9"/>
      <c r="C153" s="10"/>
      <c r="D153" s="1"/>
      <c r="E153" s="1"/>
    </row>
    <row r="154" spans="1:5">
      <c r="A154" s="9"/>
      <c r="B154" s="9"/>
      <c r="C154" s="10"/>
      <c r="D154" s="1"/>
      <c r="E154" s="1"/>
    </row>
    <row r="155" spans="1:5">
      <c r="A155" s="9"/>
      <c r="B155" s="9"/>
      <c r="C155" s="10"/>
      <c r="D155" s="1"/>
      <c r="E155" s="1"/>
    </row>
    <row r="156" spans="1:5">
      <c r="A156" s="9"/>
      <c r="B156" s="9"/>
      <c r="C156" s="10"/>
      <c r="D156" s="1"/>
      <c r="E156" s="1"/>
    </row>
    <row r="157" spans="1:5">
      <c r="A157" s="9"/>
      <c r="B157" s="9"/>
      <c r="C157" s="10"/>
      <c r="D157" s="1"/>
      <c r="E157" s="1"/>
    </row>
    <row r="158" spans="1:5">
      <c r="A158" s="9"/>
      <c r="B158" s="9"/>
      <c r="D158" s="1"/>
      <c r="E158" s="1"/>
    </row>
    <row r="159" spans="1:5">
      <c r="A159" s="9"/>
      <c r="B159" s="9"/>
      <c r="D159" s="1"/>
      <c r="E159" s="1"/>
    </row>
    <row r="160" spans="1:5">
      <c r="A160" s="9"/>
      <c r="B160" s="9"/>
      <c r="C160" s="10"/>
      <c r="D160" s="1"/>
      <c r="E160" s="1"/>
    </row>
    <row r="161" spans="1:5">
      <c r="A161" s="9"/>
      <c r="B161" s="9"/>
      <c r="C161" s="10"/>
      <c r="D161" s="1"/>
      <c r="E161" s="1"/>
    </row>
    <row r="162" spans="1:5">
      <c r="A162" s="9"/>
      <c r="B162" s="9"/>
      <c r="C162" s="10"/>
      <c r="D162" s="1"/>
      <c r="E162" s="1"/>
    </row>
    <row r="163" spans="1:5">
      <c r="A163" s="9"/>
      <c r="B163" s="9"/>
      <c r="D163" s="1"/>
      <c r="E163" s="1"/>
    </row>
    <row r="164" spans="1:5">
      <c r="A164" s="9"/>
      <c r="B164" s="9"/>
      <c r="D164" s="1"/>
      <c r="E164" s="1"/>
    </row>
    <row r="165" spans="1:5">
      <c r="A165" s="9"/>
      <c r="B165" s="9"/>
      <c r="D165" s="1"/>
      <c r="E165" s="1"/>
    </row>
    <row r="166" spans="1:5">
      <c r="A166" s="9"/>
      <c r="B166" s="9"/>
      <c r="D166" s="1"/>
      <c r="E166" s="1"/>
    </row>
    <row r="167" spans="1:5">
      <c r="A167" s="9"/>
      <c r="B167" s="9"/>
      <c r="D167" s="1"/>
      <c r="E167" s="1"/>
    </row>
    <row r="168" spans="1:5">
      <c r="A168" s="9"/>
      <c r="B168" s="9"/>
      <c r="D168" s="1"/>
      <c r="E168" s="1"/>
    </row>
    <row r="169" spans="1:5">
      <c r="A169" s="9"/>
      <c r="B169" s="9"/>
      <c r="C169" s="10"/>
      <c r="D169" s="1"/>
      <c r="E169" s="1"/>
    </row>
    <row r="170" spans="1:5">
      <c r="A170" s="9"/>
      <c r="B170" s="9"/>
      <c r="C170" s="10"/>
      <c r="D170" s="1"/>
      <c r="E170" s="1"/>
    </row>
    <row r="171" spans="1:5">
      <c r="A171" s="9"/>
      <c r="B171" s="9"/>
      <c r="C171" s="10"/>
      <c r="D171" s="1"/>
      <c r="E171" s="1"/>
    </row>
    <row r="172" spans="1:5">
      <c r="A172" s="9"/>
      <c r="B172" s="9"/>
      <c r="C172" s="10"/>
      <c r="D172" s="1"/>
      <c r="E172" s="1"/>
    </row>
    <row r="173" spans="1:5">
      <c r="A173" s="9"/>
      <c r="B173" s="9"/>
      <c r="C173" s="10"/>
      <c r="D173" s="1"/>
      <c r="E173" s="1"/>
    </row>
    <row r="174" spans="1:5">
      <c r="A174" s="9"/>
      <c r="B174" s="9"/>
      <c r="C174" s="10"/>
      <c r="D174" s="1"/>
      <c r="E174" s="1"/>
    </row>
    <row r="175" spans="1:5">
      <c r="A175" s="9"/>
      <c r="B175" s="9"/>
      <c r="C175" s="10"/>
      <c r="D175" s="1"/>
      <c r="E175" s="1"/>
    </row>
    <row r="176" spans="1:5">
      <c r="A176" s="9"/>
      <c r="B176" s="9"/>
      <c r="D176" s="1"/>
      <c r="E176" s="1"/>
    </row>
    <row r="177" spans="1:5">
      <c r="A177" s="9"/>
      <c r="B177" s="9"/>
      <c r="D177" s="1"/>
      <c r="E177" s="1"/>
    </row>
    <row r="178" spans="1:5">
      <c r="A178" s="9"/>
      <c r="B178" s="9"/>
      <c r="D178" s="1"/>
      <c r="E178" s="1"/>
    </row>
    <row r="179" spans="1:5">
      <c r="A179" s="9"/>
      <c r="B179" s="9"/>
      <c r="D179" s="1"/>
      <c r="E179" s="1"/>
    </row>
    <row r="180" spans="1:5">
      <c r="A180" s="9"/>
      <c r="B180" s="9"/>
      <c r="C180" s="10"/>
      <c r="D180" s="1"/>
      <c r="E180" s="1"/>
    </row>
    <row r="181" spans="1:5">
      <c r="A181" s="9"/>
      <c r="B181" s="9"/>
      <c r="D181" s="1"/>
      <c r="E181" s="1"/>
    </row>
    <row r="182" spans="1:5">
      <c r="A182" s="9"/>
      <c r="B182" s="9"/>
      <c r="D182" s="1"/>
      <c r="E182" s="1"/>
    </row>
    <row r="183" spans="1:5">
      <c r="A183" s="9"/>
      <c r="B183" s="9"/>
      <c r="D183" s="1"/>
      <c r="E183" s="1"/>
    </row>
    <row r="184" spans="1:5">
      <c r="A184" s="9"/>
      <c r="B184" s="9"/>
      <c r="D184" s="1"/>
      <c r="E184" s="1"/>
    </row>
    <row r="185" spans="1:5">
      <c r="A185" s="9"/>
      <c r="B185" s="9"/>
      <c r="C185" s="10"/>
      <c r="D185" s="1"/>
      <c r="E185" s="1"/>
    </row>
    <row r="186" spans="1:5">
      <c r="A186" s="9"/>
      <c r="B186" s="9"/>
      <c r="D186" s="1"/>
      <c r="E186" s="1"/>
    </row>
    <row r="187" spans="1:5">
      <c r="A187" s="9"/>
      <c r="B187" s="9"/>
      <c r="D187" s="1"/>
      <c r="E187" s="1"/>
    </row>
    <row r="188" spans="1:5">
      <c r="A188" s="9"/>
      <c r="B188" s="9"/>
      <c r="D188" s="1"/>
      <c r="E188" s="1"/>
    </row>
    <row r="189" spans="1:5">
      <c r="A189" s="9"/>
      <c r="B189" s="9"/>
      <c r="D189" s="1"/>
      <c r="E189" s="1"/>
    </row>
    <row r="190" spans="1:5">
      <c r="A190" s="9"/>
      <c r="B190" s="9"/>
      <c r="D190" s="1"/>
      <c r="E190" s="1"/>
    </row>
    <row r="191" spans="1:5">
      <c r="A191" s="9"/>
      <c r="B191" s="9"/>
      <c r="D191" s="1"/>
      <c r="E191" s="1"/>
    </row>
    <row r="192" spans="1:5">
      <c r="A192" s="9"/>
      <c r="B192" s="9"/>
      <c r="C192" s="10"/>
      <c r="D192" s="1"/>
      <c r="E192" s="1"/>
    </row>
    <row r="193" spans="1:5">
      <c r="A193" s="9"/>
      <c r="B193" s="9"/>
      <c r="D193" s="1"/>
      <c r="E193" s="1"/>
    </row>
    <row r="194" spans="1:5">
      <c r="A194" s="9"/>
      <c r="B194" s="9"/>
      <c r="D194" s="1"/>
      <c r="E194" s="1"/>
    </row>
    <row r="195" spans="1:5">
      <c r="A195" s="9"/>
      <c r="B195" s="9"/>
      <c r="D195" s="1"/>
      <c r="E195" s="1"/>
    </row>
    <row r="196" spans="1:5">
      <c r="A196" s="9"/>
      <c r="B196" s="9"/>
      <c r="D196" s="1"/>
      <c r="E196" s="1"/>
    </row>
    <row r="197" spans="1:5">
      <c r="A197" s="9"/>
      <c r="B197" s="9"/>
      <c r="C197" s="10"/>
      <c r="D197" s="1"/>
      <c r="E197" s="1"/>
    </row>
    <row r="198" spans="1:5">
      <c r="A198" s="9"/>
      <c r="B198" s="9"/>
      <c r="D198" s="1"/>
      <c r="E198" s="1"/>
    </row>
    <row r="199" spans="1:5">
      <c r="A199" s="9"/>
      <c r="B199" s="9"/>
      <c r="D199" s="1"/>
      <c r="E199" s="1"/>
    </row>
    <row r="200" spans="1:5">
      <c r="A200" s="9"/>
      <c r="B200" s="9"/>
      <c r="D200" s="1"/>
      <c r="E200" s="1"/>
    </row>
    <row r="201" spans="1:5">
      <c r="A201" s="9"/>
      <c r="B201" s="9"/>
      <c r="C201" s="10"/>
      <c r="D201" s="1"/>
      <c r="E201" s="1"/>
    </row>
    <row r="202" spans="1:5">
      <c r="A202" s="9"/>
      <c r="B202" s="9"/>
      <c r="C202" s="10"/>
      <c r="D202" s="1"/>
      <c r="E202" s="1"/>
    </row>
    <row r="203" spans="1:5">
      <c r="A203" s="9"/>
      <c r="B203" s="9"/>
      <c r="C203" s="10"/>
      <c r="D203" s="1"/>
      <c r="E203" s="1"/>
    </row>
    <row r="204" spans="1:5">
      <c r="A204" s="9"/>
      <c r="B204" s="9"/>
      <c r="C204" s="10"/>
      <c r="D204" s="1"/>
      <c r="E204" s="1"/>
    </row>
    <row r="205" spans="1:5">
      <c r="A205" s="9"/>
      <c r="B205" s="9"/>
      <c r="C205" s="10"/>
      <c r="D205" s="1"/>
      <c r="E205" s="1"/>
    </row>
    <row r="206" spans="1:5">
      <c r="A206" s="9"/>
      <c r="B206" s="9"/>
      <c r="C206" s="10"/>
      <c r="D206" s="1"/>
      <c r="E206" s="1"/>
    </row>
    <row r="207" spans="1:5">
      <c r="A207" s="9"/>
      <c r="B207" s="9"/>
      <c r="C207" s="10"/>
      <c r="D207" s="1"/>
      <c r="E207" s="1"/>
    </row>
    <row r="208" spans="1:5">
      <c r="A208" s="9"/>
      <c r="B208" s="9"/>
      <c r="C208" s="10"/>
      <c r="D208" s="1"/>
      <c r="E208" s="1"/>
    </row>
    <row r="209" spans="1:5">
      <c r="A209" s="9"/>
      <c r="B209" s="9"/>
      <c r="C209" s="10"/>
      <c r="D209" s="1"/>
      <c r="E209" s="1"/>
    </row>
    <row r="210" spans="1:5">
      <c r="A210" s="9"/>
      <c r="B210" s="9"/>
      <c r="D210" s="1"/>
      <c r="E210" s="1"/>
    </row>
    <row r="211" spans="1:5">
      <c r="A211" s="9"/>
      <c r="B211" s="9"/>
      <c r="D211" s="1"/>
      <c r="E211" s="1"/>
    </row>
    <row r="212" spans="1:5">
      <c r="A212" s="9"/>
      <c r="B212" s="9"/>
      <c r="D212" s="1"/>
      <c r="E212" s="1"/>
    </row>
    <row r="213" spans="1:5">
      <c r="A213" s="9"/>
      <c r="B213" s="9"/>
      <c r="D213" s="1"/>
      <c r="E213" s="1"/>
    </row>
    <row r="214" spans="1:5">
      <c r="A214" s="9"/>
      <c r="B214" s="9"/>
      <c r="C214" s="10"/>
      <c r="D214" s="1"/>
      <c r="E214" s="1"/>
    </row>
    <row r="215" spans="1:5">
      <c r="A215" s="9"/>
      <c r="B215" s="9"/>
      <c r="C215" s="10"/>
      <c r="D215" s="1"/>
      <c r="E215" s="1"/>
    </row>
    <row r="216" spans="1:5">
      <c r="A216" s="9"/>
      <c r="B216" s="9"/>
      <c r="C216" s="10"/>
      <c r="D216" s="1"/>
      <c r="E216" s="1"/>
    </row>
    <row r="217" spans="1:5">
      <c r="A217" s="9"/>
      <c r="B217" s="9"/>
      <c r="C217" s="10"/>
      <c r="D217" s="1"/>
      <c r="E217" s="1"/>
    </row>
    <row r="218" spans="1:5">
      <c r="A218" s="9"/>
      <c r="B218" s="9"/>
      <c r="D218" s="1"/>
      <c r="E218" s="1"/>
    </row>
    <row r="219" spans="1:5">
      <c r="A219" s="9"/>
      <c r="B219" s="9"/>
      <c r="C219" s="10"/>
      <c r="D219" s="1"/>
      <c r="E219" s="1"/>
    </row>
    <row r="220" spans="1:5">
      <c r="A220" s="9"/>
      <c r="B220" s="9"/>
      <c r="D220" s="1"/>
      <c r="E220" s="1"/>
    </row>
    <row r="221" spans="1:5">
      <c r="A221" s="9"/>
      <c r="B221" s="9"/>
      <c r="D221" s="1"/>
      <c r="E221" s="1"/>
    </row>
    <row r="222" spans="1:5">
      <c r="A222" s="9"/>
      <c r="B222" s="9"/>
      <c r="D222" s="1"/>
      <c r="E222" s="1"/>
    </row>
    <row r="223" spans="1:5">
      <c r="A223" s="9"/>
      <c r="B223" s="9"/>
      <c r="C223" s="10"/>
      <c r="D223" s="1"/>
      <c r="E223" s="1"/>
    </row>
    <row r="224" spans="1:5">
      <c r="A224" s="9"/>
      <c r="B224" s="9"/>
      <c r="C224" s="10"/>
      <c r="D224" s="1"/>
      <c r="E224" s="1"/>
    </row>
    <row r="225" spans="1:5">
      <c r="A225" s="9"/>
      <c r="B225" s="9"/>
      <c r="C225" s="10"/>
      <c r="D225" s="1"/>
      <c r="E225" s="1"/>
    </row>
    <row r="226" spans="1:5">
      <c r="A226" s="9"/>
      <c r="B226" s="9"/>
      <c r="C226" s="10"/>
      <c r="D226" s="1"/>
      <c r="E226" s="1"/>
    </row>
    <row r="227" spans="1:5">
      <c r="A227" s="9"/>
      <c r="B227" s="9"/>
      <c r="D227" s="1"/>
      <c r="E227" s="1"/>
    </row>
    <row r="228" spans="1:5">
      <c r="A228" s="9"/>
      <c r="B228" s="9"/>
      <c r="D228" s="1"/>
      <c r="E228" s="1"/>
    </row>
    <row r="229" spans="1:5">
      <c r="A229" s="9"/>
      <c r="B229" s="9"/>
      <c r="D229" s="1"/>
      <c r="E229" s="1"/>
    </row>
    <row r="230" spans="1:5">
      <c r="A230" s="9"/>
      <c r="B230" s="9"/>
      <c r="D230" s="1"/>
      <c r="E230" s="1"/>
    </row>
    <row r="231" spans="1:5">
      <c r="A231" s="9"/>
      <c r="B231" s="9"/>
      <c r="D231" s="1"/>
      <c r="E231" s="1"/>
    </row>
    <row r="232" spans="1:5">
      <c r="A232" s="9"/>
      <c r="B232" s="9"/>
      <c r="D232" s="1"/>
      <c r="E232" s="1"/>
    </row>
    <row r="233" spans="1:5">
      <c r="A233" s="9"/>
      <c r="B233" s="9"/>
      <c r="D233" s="1"/>
      <c r="E233" s="1"/>
    </row>
    <row r="234" spans="1:5">
      <c r="A234" s="9"/>
      <c r="B234" s="9"/>
      <c r="D234" s="1"/>
      <c r="E234" s="1"/>
    </row>
    <row r="235" spans="1:5">
      <c r="A235" s="9"/>
      <c r="B235" s="9"/>
      <c r="D235" s="1"/>
      <c r="E235" s="1"/>
    </row>
    <row r="236" spans="1:5">
      <c r="A236" s="9"/>
      <c r="B236" s="9"/>
      <c r="D236" s="1"/>
      <c r="E236" s="1"/>
    </row>
    <row r="237" spans="1:5">
      <c r="A237" s="9"/>
      <c r="B237" s="9"/>
      <c r="C237" s="10"/>
      <c r="D237" s="1"/>
      <c r="E237" s="1"/>
    </row>
    <row r="238" spans="1:5">
      <c r="A238" s="9"/>
      <c r="B238" s="9"/>
      <c r="C238" s="10"/>
      <c r="D238" s="1"/>
      <c r="E238" s="1"/>
    </row>
    <row r="239" spans="1:5">
      <c r="A239" s="9"/>
      <c r="B239" s="9"/>
      <c r="D239" s="1"/>
      <c r="E239" s="1"/>
    </row>
    <row r="240" spans="1:5">
      <c r="A240" s="9"/>
      <c r="B240" s="9"/>
      <c r="D240" s="1"/>
      <c r="E240" s="1"/>
    </row>
    <row r="241" spans="1:5">
      <c r="A241" s="9"/>
      <c r="B241" s="9"/>
      <c r="D241" s="1"/>
      <c r="E241" s="1"/>
    </row>
    <row r="242" spans="1:5">
      <c r="A242" s="9"/>
      <c r="B242" s="9"/>
      <c r="C242" s="10"/>
      <c r="D242" s="1"/>
      <c r="E242" s="1"/>
    </row>
    <row r="243" spans="1:5">
      <c r="A243" s="9"/>
      <c r="B243" s="9"/>
      <c r="C243" s="10"/>
      <c r="D243" s="1"/>
      <c r="E243" s="1"/>
    </row>
    <row r="244" spans="1:5">
      <c r="A244" s="9"/>
      <c r="B244" s="9"/>
      <c r="C244" s="10"/>
      <c r="D244" s="1"/>
      <c r="E244" s="1"/>
    </row>
    <row r="245" spans="1:5">
      <c r="A245" s="9"/>
      <c r="B245" s="9"/>
      <c r="C245" s="10"/>
      <c r="D245" s="1"/>
      <c r="E245" s="1"/>
    </row>
    <row r="246" spans="1:5">
      <c r="A246" s="9"/>
      <c r="B246" s="9"/>
      <c r="C246" s="10"/>
      <c r="D246" s="1"/>
      <c r="E246" s="1"/>
    </row>
    <row r="247" spans="1:5">
      <c r="A247" s="9"/>
      <c r="B247" s="9"/>
      <c r="C247" s="10"/>
      <c r="D247" s="1"/>
      <c r="E247" s="1"/>
    </row>
    <row r="248" spans="1:5">
      <c r="A248" s="9"/>
      <c r="B248" s="9"/>
      <c r="C248" s="10"/>
      <c r="D248" s="1"/>
      <c r="E248" s="1"/>
    </row>
    <row r="249" spans="1:5">
      <c r="A249" s="9"/>
      <c r="B249" s="9"/>
      <c r="C249" s="10"/>
      <c r="D249" s="1"/>
      <c r="E249" s="1"/>
    </row>
    <row r="250" spans="1:5">
      <c r="A250" s="9"/>
      <c r="B250" s="9"/>
      <c r="C250" s="10"/>
      <c r="D250" s="1"/>
      <c r="E250" s="1"/>
    </row>
    <row r="251" spans="1:5">
      <c r="A251" s="9"/>
      <c r="B251" s="9"/>
      <c r="C251" s="10"/>
      <c r="D251" s="1"/>
      <c r="E251" s="1"/>
    </row>
    <row r="252" spans="1:5">
      <c r="A252" s="9"/>
      <c r="B252" s="9"/>
      <c r="C252" s="10"/>
      <c r="D252" s="1"/>
      <c r="E252" s="1"/>
    </row>
    <row r="253" spans="1:5">
      <c r="A253" s="9"/>
      <c r="B253" s="9"/>
      <c r="C253" s="10"/>
      <c r="D253" s="1"/>
      <c r="E253" s="1"/>
    </row>
    <row r="254" spans="1:5">
      <c r="A254" s="9"/>
      <c r="B254" s="9"/>
      <c r="C254" s="10"/>
      <c r="D254" s="1"/>
      <c r="E254" s="1"/>
    </row>
    <row r="255" spans="1:5">
      <c r="A255" s="9"/>
      <c r="B255" s="9"/>
      <c r="C255" s="10"/>
      <c r="D255" s="1"/>
      <c r="E255" s="1"/>
    </row>
    <row r="256" spans="1:5">
      <c r="A256" s="9"/>
      <c r="B256" s="9"/>
      <c r="C256" s="10"/>
      <c r="D256" s="1"/>
      <c r="E256" s="1"/>
    </row>
    <row r="257" spans="1:5">
      <c r="A257" s="9"/>
      <c r="B257" s="9"/>
      <c r="C257" s="10"/>
      <c r="D257" s="1"/>
      <c r="E257" s="1"/>
    </row>
    <row r="258" spans="1:5">
      <c r="A258" s="9"/>
      <c r="B258" s="9"/>
      <c r="C258" s="10"/>
      <c r="D258" s="1"/>
      <c r="E258" s="1"/>
    </row>
    <row r="259" spans="1:5">
      <c r="A259" s="9"/>
      <c r="B259" s="9"/>
      <c r="D259" s="1"/>
      <c r="E259" s="1"/>
    </row>
    <row r="260" spans="1:5">
      <c r="A260" s="9"/>
      <c r="B260" s="9"/>
      <c r="C260" s="10"/>
      <c r="D260" s="1"/>
      <c r="E260" s="1"/>
    </row>
    <row r="261" spans="1:5">
      <c r="A261" s="9"/>
      <c r="B261" s="9"/>
      <c r="D261" s="1"/>
      <c r="E261" s="1"/>
    </row>
    <row r="262" spans="1:5">
      <c r="A262" s="9"/>
      <c r="B262" s="9"/>
      <c r="C262" s="10"/>
      <c r="D262" s="1"/>
      <c r="E262" s="1"/>
    </row>
    <row r="263" spans="1:5">
      <c r="A263" s="9"/>
      <c r="B263" s="9"/>
      <c r="C263" s="10"/>
      <c r="D263" s="1"/>
      <c r="E263" s="1"/>
    </row>
    <row r="264" spans="1:5">
      <c r="A264" s="9"/>
      <c r="B264" s="9"/>
      <c r="C264" s="10"/>
      <c r="D264" s="1"/>
      <c r="E264" s="1"/>
    </row>
    <row r="265" spans="1:5">
      <c r="A265" s="9"/>
      <c r="B265" s="9"/>
      <c r="C265" s="10"/>
      <c r="D265" s="1"/>
      <c r="E265" s="1"/>
    </row>
    <row r="266" spans="1:5">
      <c r="A266" s="9"/>
      <c r="B266" s="9"/>
      <c r="C266" s="10"/>
      <c r="D266" s="1"/>
      <c r="E266" s="1"/>
    </row>
    <row r="267" spans="1:5">
      <c r="A267" s="9"/>
      <c r="B267" s="9"/>
      <c r="C267" s="10"/>
      <c r="D267" s="1"/>
      <c r="E267" s="1"/>
    </row>
    <row r="268" spans="1:5">
      <c r="A268" s="9"/>
      <c r="B268" s="9"/>
      <c r="C268" s="10"/>
      <c r="D268" s="1"/>
      <c r="E268" s="1"/>
    </row>
    <row r="269" spans="1:5">
      <c r="A269" s="9"/>
      <c r="B269" s="9"/>
      <c r="C269" s="10"/>
      <c r="D269" s="1"/>
      <c r="E269" s="1"/>
    </row>
    <row r="270" spans="1:5">
      <c r="A270" s="9"/>
      <c r="B270" s="9"/>
      <c r="C270" s="10"/>
      <c r="D270" s="1"/>
      <c r="E270" s="1"/>
    </row>
    <row r="271" spans="1:5">
      <c r="A271" s="9"/>
      <c r="B271" s="9"/>
      <c r="C271" s="10"/>
      <c r="D271" s="1"/>
      <c r="E271" s="1"/>
    </row>
    <row r="272" spans="1:5">
      <c r="A272" s="9"/>
      <c r="B272" s="9"/>
      <c r="C272" s="10"/>
      <c r="D272" s="1"/>
      <c r="E272" s="1"/>
    </row>
    <row r="273" spans="1:5">
      <c r="A273" s="9"/>
      <c r="B273" s="9"/>
      <c r="D273" s="1"/>
      <c r="E273" s="1"/>
    </row>
    <row r="274" spans="1:5">
      <c r="A274" s="9"/>
      <c r="B274" s="9"/>
      <c r="C274" s="10"/>
      <c r="D274" s="1"/>
      <c r="E274" s="1"/>
    </row>
    <row r="275" spans="1:5">
      <c r="A275" s="9"/>
      <c r="B275" s="9"/>
      <c r="C275" s="10"/>
      <c r="D275" s="1"/>
      <c r="E275" s="1"/>
    </row>
    <row r="276" spans="1:5">
      <c r="A276" s="9"/>
      <c r="B276" s="9"/>
      <c r="C276" s="10"/>
      <c r="D276" s="1"/>
      <c r="E276" s="1"/>
    </row>
    <row r="277" spans="1:5">
      <c r="A277" s="9"/>
      <c r="B277" s="9"/>
      <c r="C277" s="10"/>
      <c r="D277" s="1"/>
      <c r="E277" s="1"/>
    </row>
    <row r="278" spans="1:5">
      <c r="A278" s="9"/>
      <c r="B278" s="9"/>
      <c r="C278" s="10"/>
      <c r="D278" s="1"/>
      <c r="E278" s="1"/>
    </row>
    <row r="279" spans="1:5">
      <c r="A279" s="9"/>
      <c r="B279" s="9"/>
      <c r="C279" s="10"/>
      <c r="D279" s="1"/>
      <c r="E279" s="1"/>
    </row>
    <row r="280" spans="1:5">
      <c r="A280" s="9"/>
      <c r="B280" s="9"/>
      <c r="C280" s="10"/>
      <c r="D280" s="1"/>
      <c r="E280" s="1"/>
    </row>
    <row r="281" spans="1:5">
      <c r="A281" s="9"/>
      <c r="B281" s="9"/>
      <c r="C281" s="10"/>
      <c r="D281" s="1"/>
      <c r="E281" s="1"/>
    </row>
    <row r="282" spans="1:5">
      <c r="A282" s="9"/>
      <c r="B282" s="9"/>
      <c r="C282" s="10"/>
      <c r="D282" s="1"/>
      <c r="E282" s="1"/>
    </row>
    <row r="283" spans="1:5">
      <c r="A283" s="9"/>
      <c r="B283" s="9"/>
      <c r="C283" s="10"/>
      <c r="D283" s="1"/>
      <c r="E283" s="1"/>
    </row>
    <row r="284" spans="1:5">
      <c r="A284" s="9"/>
      <c r="B284" s="9"/>
      <c r="C284" s="10"/>
      <c r="D284" s="1"/>
      <c r="E284" s="1"/>
    </row>
    <row r="285" spans="1:5">
      <c r="A285" s="9"/>
      <c r="B285" s="9"/>
      <c r="C285" s="10"/>
      <c r="D285" s="1"/>
      <c r="E285" s="1"/>
    </row>
    <row r="286" spans="1:5">
      <c r="A286" s="9"/>
      <c r="B286" s="9"/>
      <c r="C286" s="10"/>
      <c r="D286" s="1"/>
      <c r="E286" s="1"/>
    </row>
    <row r="287" spans="1:5">
      <c r="A287" s="9"/>
      <c r="B287" s="9"/>
      <c r="C287" s="10"/>
      <c r="D287" s="1"/>
      <c r="E287" s="1"/>
    </row>
    <row r="288" spans="1:5">
      <c r="A288" s="9"/>
      <c r="B288" s="9"/>
      <c r="D288" s="1"/>
      <c r="E288" s="1"/>
    </row>
    <row r="289" spans="1:5">
      <c r="A289" s="9"/>
      <c r="B289" s="9"/>
      <c r="C289" s="10"/>
      <c r="D289" s="1"/>
      <c r="E289" s="1"/>
    </row>
    <row r="290" spans="1:5">
      <c r="A290" s="9"/>
      <c r="B290" s="9"/>
      <c r="C290" s="10"/>
      <c r="D290" s="1"/>
      <c r="E290" s="1"/>
    </row>
    <row r="291" spans="1:5">
      <c r="A291" s="9"/>
      <c r="B291" s="9"/>
      <c r="C291" s="10"/>
      <c r="D291" s="1"/>
      <c r="E291" s="1"/>
    </row>
    <row r="292" spans="1:5">
      <c r="A292" s="9"/>
      <c r="B292" s="9"/>
      <c r="C292" s="10"/>
      <c r="D292" s="1"/>
      <c r="E292" s="1"/>
    </row>
    <row r="293" spans="1:5">
      <c r="A293" s="9"/>
      <c r="B293" s="9"/>
      <c r="C293" s="10"/>
      <c r="D293" s="1"/>
      <c r="E293" s="1"/>
    </row>
    <row r="294" spans="1:5">
      <c r="A294" s="9"/>
      <c r="B294" s="9"/>
      <c r="C294" s="10"/>
      <c r="D294" s="1"/>
      <c r="E294" s="1"/>
    </row>
    <row r="295" spans="1:5">
      <c r="A295" s="9"/>
      <c r="B295" s="9"/>
      <c r="C295" s="10"/>
      <c r="D295" s="1"/>
      <c r="E295" s="1"/>
    </row>
    <row r="296" spans="1:5">
      <c r="A296" s="9"/>
      <c r="B296" s="9"/>
      <c r="C296" s="10"/>
      <c r="D296" s="1"/>
      <c r="E296" s="1"/>
    </row>
    <row r="297" spans="1:5">
      <c r="A297" s="9"/>
      <c r="B297" s="9"/>
      <c r="C297" s="10"/>
      <c r="D297" s="1"/>
      <c r="E297" s="1"/>
    </row>
    <row r="298" spans="1:5">
      <c r="A298" s="9"/>
      <c r="B298" s="9"/>
      <c r="C298" s="10"/>
      <c r="D298" s="1"/>
      <c r="E298" s="1"/>
    </row>
    <row r="299" spans="1:5">
      <c r="A299" s="9"/>
      <c r="B299" s="9"/>
      <c r="C299" s="10"/>
      <c r="D299" s="1"/>
      <c r="E299" s="1"/>
    </row>
    <row r="300" spans="1:5">
      <c r="A300" s="9"/>
      <c r="B300" s="9"/>
      <c r="C300" s="10"/>
      <c r="D300" s="1"/>
      <c r="E300" s="1"/>
    </row>
    <row r="301" spans="1:5">
      <c r="A301" s="9"/>
      <c r="B301" s="9"/>
      <c r="C301" s="10"/>
      <c r="D301" s="1"/>
      <c r="E301" s="1"/>
    </row>
    <row r="302" spans="1:5">
      <c r="A302" s="9"/>
      <c r="B302" s="9"/>
      <c r="C302" s="10"/>
      <c r="D302" s="1"/>
      <c r="E302" s="1"/>
    </row>
    <row r="303" spans="1:5">
      <c r="A303" s="9"/>
      <c r="B303" s="9"/>
      <c r="C303" s="10"/>
      <c r="D303" s="1"/>
      <c r="E303" s="1"/>
    </row>
    <row r="304" spans="1:5">
      <c r="A304" s="9"/>
      <c r="B304" s="9"/>
      <c r="C304" s="10"/>
      <c r="D304" s="1"/>
      <c r="E304" s="1"/>
    </row>
    <row r="305" spans="1:5">
      <c r="A305" s="9"/>
      <c r="B305" s="9"/>
      <c r="C305" s="10"/>
      <c r="D305" s="1"/>
      <c r="E305" s="1"/>
    </row>
    <row r="306" spans="1:5">
      <c r="A306" s="9"/>
      <c r="B306" s="9"/>
      <c r="C306" s="10"/>
      <c r="D306" s="1"/>
      <c r="E306" s="1"/>
    </row>
    <row r="307" spans="1:5">
      <c r="A307" s="9"/>
      <c r="B307" s="9"/>
      <c r="C307" s="10"/>
      <c r="D307" s="1"/>
      <c r="E307" s="1"/>
    </row>
    <row r="308" spans="1:5">
      <c r="A308" s="9"/>
      <c r="B308" s="9"/>
      <c r="C308" s="10"/>
      <c r="D308" s="1"/>
      <c r="E308" s="1"/>
    </row>
    <row r="309" spans="1:5">
      <c r="A309" s="9"/>
      <c r="B309" s="9"/>
      <c r="C309" s="10"/>
      <c r="D309" s="1"/>
      <c r="E309" s="1"/>
    </row>
    <row r="310" spans="1:5">
      <c r="A310" s="9"/>
      <c r="B310" s="9"/>
      <c r="C310" s="10"/>
      <c r="D310" s="1"/>
      <c r="E310" s="1"/>
    </row>
    <row r="311" spans="1:5">
      <c r="A311" s="9"/>
      <c r="B311" s="9"/>
      <c r="C311" s="10"/>
      <c r="D311" s="1"/>
      <c r="E311" s="1"/>
    </row>
    <row r="312" spans="1:5">
      <c r="A312" s="9"/>
      <c r="B312" s="9"/>
      <c r="C312" s="10"/>
      <c r="D312" s="1"/>
      <c r="E312" s="1"/>
    </row>
    <row r="313" spans="1:5">
      <c r="A313" s="9"/>
      <c r="B313" s="9"/>
      <c r="C313" s="10"/>
      <c r="D313" s="1"/>
      <c r="E313" s="1"/>
    </row>
    <row r="314" spans="1:5">
      <c r="A314" s="9"/>
      <c r="B314" s="9"/>
      <c r="C314" s="10"/>
      <c r="D314" s="1"/>
      <c r="E314" s="1"/>
    </row>
    <row r="315" spans="1:5">
      <c r="A315" s="9"/>
      <c r="B315" s="9"/>
      <c r="C315" s="10"/>
      <c r="D315" s="1"/>
      <c r="E315" s="1"/>
    </row>
    <row r="316" spans="1:5">
      <c r="A316" s="9"/>
      <c r="B316" s="9"/>
      <c r="C316" s="10"/>
      <c r="D316" s="1"/>
      <c r="E316" s="1"/>
    </row>
    <row r="317" spans="1:5">
      <c r="A317" s="9"/>
      <c r="B317" s="9"/>
      <c r="C317" s="10"/>
      <c r="D317" s="1"/>
      <c r="E317" s="1"/>
    </row>
    <row r="318" spans="1:5">
      <c r="A318" s="9"/>
      <c r="B318" s="9"/>
      <c r="C318" s="10"/>
      <c r="D318" s="1"/>
      <c r="E318" s="1"/>
    </row>
    <row r="319" spans="1:5">
      <c r="A319" s="9"/>
      <c r="B319" s="9"/>
      <c r="D319" s="1"/>
      <c r="E319" s="1"/>
    </row>
    <row r="320" spans="1:5">
      <c r="A320" s="9"/>
      <c r="B320" s="9"/>
      <c r="C320" s="10"/>
      <c r="D320" s="1"/>
      <c r="E320" s="1"/>
    </row>
    <row r="321" spans="1:5">
      <c r="A321" s="9"/>
      <c r="B321" s="9"/>
      <c r="C321" s="10"/>
      <c r="D321" s="1"/>
      <c r="E321" s="1"/>
    </row>
    <row r="322" spans="1:5">
      <c r="A322" s="9"/>
      <c r="B322" s="9"/>
      <c r="C322" s="10"/>
      <c r="D322" s="1"/>
      <c r="E322" s="1"/>
    </row>
    <row r="323" spans="1:5">
      <c r="A323" s="9"/>
      <c r="B323" s="9"/>
      <c r="C323" s="10"/>
      <c r="D323" s="1"/>
      <c r="E323" s="1"/>
    </row>
    <row r="324" spans="1:5">
      <c r="A324" s="9"/>
      <c r="B324" s="9"/>
      <c r="C324" s="10"/>
      <c r="D324" s="1"/>
      <c r="E324" s="1"/>
    </row>
    <row r="325" spans="1:5">
      <c r="A325" s="9"/>
      <c r="B325" s="9"/>
      <c r="C325" s="10"/>
      <c r="D325" s="1"/>
      <c r="E325" s="1"/>
    </row>
    <row r="326" spans="1:5">
      <c r="A326" s="9"/>
      <c r="B326" s="9"/>
      <c r="C326" s="10"/>
      <c r="D326" s="1"/>
      <c r="E326" s="1"/>
    </row>
    <row r="327" spans="1:5">
      <c r="A327" s="9"/>
      <c r="B327" s="9"/>
      <c r="C327" s="10"/>
      <c r="D327" s="1"/>
      <c r="E327" s="1"/>
    </row>
    <row r="328" spans="1:5">
      <c r="A328" s="9"/>
      <c r="B328" s="9"/>
      <c r="C328" s="10"/>
      <c r="D328" s="1"/>
      <c r="E328" s="1"/>
    </row>
    <row r="329" spans="1:5">
      <c r="A329" s="9"/>
      <c r="B329" s="9"/>
      <c r="C329" s="10"/>
      <c r="D329" s="1"/>
      <c r="E329" s="1"/>
    </row>
    <row r="330" spans="1:5">
      <c r="A330" s="9"/>
      <c r="B330" s="9"/>
      <c r="C330" s="10"/>
      <c r="D330" s="1"/>
      <c r="E330" s="1"/>
    </row>
    <row r="331" spans="1:5">
      <c r="A331" s="9"/>
      <c r="B331" s="9"/>
      <c r="C331" s="10"/>
      <c r="D331" s="1"/>
      <c r="E331" s="1"/>
    </row>
    <row r="332" spans="1:5">
      <c r="A332" s="9"/>
      <c r="B332" s="9"/>
      <c r="C332" s="10"/>
      <c r="D332" s="1"/>
      <c r="E332" s="1"/>
    </row>
    <row r="333" spans="1:5">
      <c r="A333" s="9"/>
      <c r="B333" s="9"/>
      <c r="C333" s="10"/>
      <c r="D333" s="1"/>
      <c r="E333" s="1"/>
    </row>
    <row r="334" spans="1:5">
      <c r="A334" s="9"/>
      <c r="B334" s="9"/>
      <c r="C334" s="10"/>
      <c r="D334" s="1"/>
      <c r="E334" s="1"/>
    </row>
    <row r="335" spans="1:5">
      <c r="A335" s="9"/>
      <c r="B335" s="9"/>
      <c r="C335" s="10"/>
      <c r="D335" s="1"/>
      <c r="E335" s="1"/>
    </row>
    <row r="336" spans="1:5">
      <c r="A336" s="9"/>
      <c r="B336" s="9"/>
      <c r="C336" s="10"/>
      <c r="D336" s="1"/>
      <c r="E336" s="1"/>
    </row>
    <row r="337" spans="1:5">
      <c r="A337" s="9"/>
      <c r="B337" s="9"/>
      <c r="C337" s="10"/>
      <c r="D337" s="1"/>
      <c r="E337" s="1"/>
    </row>
    <row r="338" spans="1:5">
      <c r="A338" s="9"/>
      <c r="B338" s="9"/>
      <c r="C338" s="10"/>
      <c r="D338" s="1"/>
      <c r="E338" s="1"/>
    </row>
    <row r="339" spans="1:5">
      <c r="A339" s="9"/>
      <c r="B339" s="9"/>
      <c r="C339" s="10"/>
      <c r="D339" s="1"/>
      <c r="E339" s="1"/>
    </row>
    <row r="340" spans="1:5">
      <c r="A340" s="9"/>
      <c r="B340" s="9"/>
      <c r="C340" s="10"/>
      <c r="D340" s="1"/>
      <c r="E340" s="1"/>
    </row>
    <row r="341" spans="1:5">
      <c r="A341" s="9"/>
      <c r="B341" s="9"/>
      <c r="C341" s="10"/>
      <c r="D341" s="1"/>
      <c r="E341" s="1"/>
    </row>
    <row r="342" spans="1:5">
      <c r="A342" s="9"/>
      <c r="B342" s="9"/>
      <c r="C342" s="10"/>
      <c r="D342" s="1"/>
      <c r="E342" s="1"/>
    </row>
    <row r="343" spans="1:5">
      <c r="A343" s="9"/>
      <c r="B343" s="9"/>
      <c r="C343" s="10"/>
      <c r="D343" s="1"/>
      <c r="E343" s="1"/>
    </row>
    <row r="344" spans="1:5">
      <c r="A344" s="9"/>
      <c r="B344" s="9"/>
      <c r="C344" s="10"/>
      <c r="D344" s="1"/>
      <c r="E344" s="1"/>
    </row>
    <row r="345" spans="1:5">
      <c r="A345" s="9"/>
      <c r="B345" s="9"/>
      <c r="C345" s="10"/>
      <c r="D345" s="1"/>
      <c r="E345" s="1"/>
    </row>
    <row r="346" spans="1:5">
      <c r="A346" s="9"/>
      <c r="B346" s="9"/>
      <c r="C346" s="10"/>
      <c r="D346" s="1"/>
      <c r="E346" s="1"/>
    </row>
    <row r="347" spans="1:5">
      <c r="A347" s="9"/>
      <c r="B347" s="9"/>
      <c r="C347" s="10"/>
      <c r="D347" s="1"/>
      <c r="E347" s="1"/>
    </row>
    <row r="348" spans="1:5">
      <c r="A348" s="9"/>
      <c r="B348" s="9"/>
      <c r="C348" s="10"/>
      <c r="D348" s="1"/>
      <c r="E348" s="1"/>
    </row>
    <row r="349" spans="1:5">
      <c r="A349" s="9"/>
      <c r="B349" s="9"/>
      <c r="C349" s="10"/>
      <c r="D349" s="1"/>
      <c r="E349" s="1"/>
    </row>
    <row r="350" spans="1:5">
      <c r="A350" s="9"/>
      <c r="B350" s="9"/>
      <c r="C350" s="10"/>
      <c r="D350" s="1"/>
      <c r="E350" s="1"/>
    </row>
    <row r="351" spans="1:5">
      <c r="A351" s="9"/>
      <c r="B351" s="9"/>
      <c r="C351" s="10"/>
      <c r="D351" s="1"/>
      <c r="E351" s="1"/>
    </row>
    <row r="352" spans="1:5">
      <c r="A352" s="9"/>
      <c r="B352" s="9"/>
      <c r="C352" s="10"/>
      <c r="D352" s="1"/>
      <c r="E352" s="1"/>
    </row>
    <row r="353" spans="1:5">
      <c r="A353" s="9"/>
      <c r="B353" s="9"/>
      <c r="C353" s="10"/>
      <c r="D353" s="1"/>
      <c r="E353" s="1"/>
    </row>
    <row r="354" spans="1:5">
      <c r="A354" s="9"/>
      <c r="B354" s="9"/>
      <c r="C354" s="10"/>
      <c r="D354" s="1"/>
      <c r="E354" s="1"/>
    </row>
    <row r="355" spans="1:5">
      <c r="A355" s="9"/>
      <c r="B355" s="9"/>
      <c r="C355" s="10"/>
      <c r="D355" s="1"/>
      <c r="E355" s="1"/>
    </row>
    <row r="356" spans="1:5">
      <c r="A356" s="9"/>
      <c r="B356" s="9"/>
      <c r="C356" s="10"/>
      <c r="D356" s="1"/>
      <c r="E356" s="1"/>
    </row>
    <row r="357" spans="1:5">
      <c r="A357" s="9"/>
      <c r="B357" s="9"/>
      <c r="C357" s="10"/>
      <c r="D357" s="1"/>
      <c r="E357" s="1"/>
    </row>
    <row r="358" spans="1:5">
      <c r="A358" s="9"/>
      <c r="B358" s="9"/>
      <c r="C358" s="10"/>
      <c r="D358" s="1"/>
      <c r="E358" s="1"/>
    </row>
    <row r="359" spans="1:5">
      <c r="A359" s="9"/>
      <c r="B359" s="9"/>
      <c r="C359" s="10"/>
      <c r="D359" s="1"/>
      <c r="E359" s="1"/>
    </row>
    <row r="360" spans="1:5">
      <c r="A360" s="9"/>
      <c r="B360" s="9"/>
      <c r="C360" s="10"/>
      <c r="D360" s="1"/>
      <c r="E360" s="1"/>
    </row>
    <row r="361" spans="1:5">
      <c r="A361" s="9"/>
      <c r="B361" s="9"/>
      <c r="C361" s="10"/>
      <c r="D361" s="1"/>
      <c r="E361" s="1"/>
    </row>
    <row r="362" spans="1:5">
      <c r="A362" s="9"/>
      <c r="B362" s="9"/>
      <c r="C362" s="10"/>
      <c r="D362" s="1"/>
      <c r="E362" s="1"/>
    </row>
    <row r="363" spans="1:5">
      <c r="A363" s="9"/>
      <c r="B363" s="9"/>
      <c r="C363" s="10"/>
      <c r="D363" s="1"/>
      <c r="E363" s="1"/>
    </row>
    <row r="364" spans="1:5">
      <c r="A364" s="9"/>
      <c r="B364" s="9"/>
      <c r="C364" s="10"/>
      <c r="D364" s="1"/>
      <c r="E364" s="1"/>
    </row>
    <row r="365" spans="1:5">
      <c r="A365" s="9"/>
      <c r="B365" s="9"/>
      <c r="C365" s="10"/>
      <c r="D365" s="1"/>
      <c r="E365" s="1"/>
    </row>
    <row r="366" spans="1:5">
      <c r="A366" s="9"/>
      <c r="B366" s="9"/>
      <c r="C366" s="10"/>
      <c r="D366" s="1"/>
      <c r="E366" s="1"/>
    </row>
    <row r="367" spans="1:5">
      <c r="A367" s="9"/>
      <c r="B367" s="9"/>
      <c r="C367" s="10"/>
      <c r="D367" s="1"/>
      <c r="E367" s="1"/>
    </row>
    <row r="368" spans="1:5">
      <c r="A368" s="9"/>
      <c r="B368" s="9"/>
      <c r="C368" s="10"/>
      <c r="D368" s="1"/>
      <c r="E368" s="1"/>
    </row>
    <row r="369" spans="1:5">
      <c r="A369" s="9"/>
      <c r="B369" s="9"/>
      <c r="C369" s="10"/>
      <c r="D369" s="1"/>
      <c r="E369" s="1"/>
    </row>
    <row r="370" spans="1:5">
      <c r="A370" s="9"/>
      <c r="B370" s="9"/>
      <c r="C370" s="10"/>
      <c r="D370" s="1"/>
      <c r="E370" s="1"/>
    </row>
    <row r="432" spans="1:5">
      <c r="A432" s="9"/>
      <c r="B432" s="9"/>
      <c r="C432" s="10"/>
      <c r="D432" s="1"/>
      <c r="E432" s="1"/>
    </row>
    <row r="433" spans="1:5">
      <c r="A433" s="9"/>
      <c r="B433" s="9"/>
      <c r="C433" s="12"/>
      <c r="D433" s="1"/>
      <c r="E433" s="1"/>
    </row>
    <row r="434" spans="1:5">
      <c r="A434" s="9"/>
      <c r="B434" s="9"/>
      <c r="C434" s="11"/>
      <c r="D434" s="1"/>
      <c r="E434" s="1"/>
    </row>
    <row r="435" spans="1:5">
      <c r="A435" s="9" t="s">
        <v>535</v>
      </c>
      <c r="B435" s="9"/>
      <c r="D435" s="1"/>
      <c r="E435" s="1"/>
    </row>
    <row r="436" spans="1:5">
      <c r="A436" s="9" t="s">
        <v>535</v>
      </c>
      <c r="B436" s="9"/>
      <c r="D436" s="1"/>
      <c r="E436" s="1"/>
    </row>
    <row r="437" spans="1:5">
      <c r="A437" s="9"/>
      <c r="B437" s="9"/>
      <c r="C437" s="10"/>
      <c r="D437" s="1"/>
      <c r="E437" s="1"/>
    </row>
    <row r="438" spans="1:5">
      <c r="A438" s="9"/>
      <c r="B438" s="9"/>
      <c r="C438" s="10"/>
      <c r="D438" s="1"/>
      <c r="E438" s="1"/>
    </row>
    <row r="439" spans="1:5">
      <c r="A439" s="9"/>
      <c r="B439" s="9"/>
      <c r="C439" s="10"/>
      <c r="D439" s="1"/>
      <c r="E439" s="1"/>
    </row>
    <row r="440" spans="1:5">
      <c r="A440" s="9"/>
      <c r="B440" s="9"/>
      <c r="C440" s="10"/>
      <c r="D440" s="1"/>
      <c r="E440" s="1"/>
    </row>
    <row r="441" spans="1:5">
      <c r="A441" s="9"/>
      <c r="B441" s="9"/>
      <c r="C441" s="10"/>
      <c r="D441" s="1"/>
      <c r="E441" s="1"/>
    </row>
  </sheetData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"/>
  <sheetViews>
    <sheetView workbookViewId="0">
      <selection activeCell="A1" sqref="A1:A21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土</vt:lpstr>
      <vt:lpstr>膨胀土</vt:lpstr>
      <vt:lpstr>Sheet5</vt:lpstr>
      <vt:lpstr>Sheet6</vt:lpstr>
      <vt:lpstr>Sheet2</vt:lpstr>
      <vt:lpstr>Sheet3</vt:lpstr>
      <vt:lpstr>黄土湿陷性判定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神舟</cp:lastModifiedBy>
  <dcterms:created xsi:type="dcterms:W3CDTF">2006-06-12T14:06:00Z</dcterms:created>
  <cp:lastPrinted>2020-11-11T02:30:00Z</cp:lastPrinted>
  <dcterms:modified xsi:type="dcterms:W3CDTF">2026-07-06T14:35:48Z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B6248D4B5B3E45EF8C588AB9E26CA334_13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
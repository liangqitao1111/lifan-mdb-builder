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标贯修正" sheetId="9" r:id="rId1"/>
    <sheet name="重型动探" sheetId="12" r:id="rId2"/>
    <sheet name="静力触探" sheetId="10" r:id="rId3"/>
    <sheet name="Q4黏性土" sheetId="4" r:id="rId4"/>
    <sheet name="粉土" sheetId="2" r:id="rId5"/>
    <sheet name="新黄土" sheetId="1" r:id="rId6"/>
    <sheet name="老黄土" sheetId="11" r:id="rId7"/>
    <sheet name="软土" sheetId="5" r:id="rId8"/>
    <sheet name="Q3以前黏性土" sheetId="7" r:id="rId9"/>
    <sheet name="残积黏性土" sheetId="8" r:id="rId10"/>
  </sheets>
  <definedNames>
    <definedName name="_xlnm.Print_Area" localSheetId="3">Q4黏性土!$A$1:$Z$23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<sst xmlns="http://schemas.openxmlformats.org/spreadsheetml/2006/main" count="164" uniqueCount="102">
  <si>
    <r>
      <rPr>
        <sz val="16"/>
        <rFont val="宋体"/>
        <charset val="134"/>
      </rPr>
      <t>铁建标准贯入</t>
    </r>
    <r>
      <rPr>
        <sz val="16"/>
        <rFont val="Times New Roman"/>
        <charset val="134"/>
      </rPr>
      <t>N63.5</t>
    </r>
    <r>
      <rPr>
        <sz val="16"/>
        <rFont val="宋体"/>
        <charset val="134"/>
      </rPr>
      <t>修正</t>
    </r>
  </si>
  <si>
    <t>铁路工程地质勘察规范</t>
  </si>
  <si>
    <t>杆长</t>
  </si>
  <si>
    <r>
      <rPr>
        <sz val="16"/>
        <rFont val="宋体"/>
        <charset val="134"/>
      </rPr>
      <t>修正系数</t>
    </r>
    <r>
      <rPr>
        <sz val="16"/>
        <rFont val="Times New Roman"/>
        <charset val="134"/>
      </rPr>
      <t>a</t>
    </r>
  </si>
  <si>
    <r>
      <rPr>
        <sz val="14"/>
        <rFont val="宋体"/>
        <charset val="134"/>
      </rPr>
      <t>锤击数</t>
    </r>
    <r>
      <rPr>
        <sz val="14"/>
        <rFont val="Times New Roman"/>
        <charset val="134"/>
      </rPr>
      <t>N</t>
    </r>
  </si>
  <si>
    <t>校正锤击数</t>
  </si>
  <si>
    <r>
      <rPr>
        <sz val="12"/>
        <rFont val="宋体"/>
        <charset val="134"/>
      </rPr>
      <t>钻杆长度</t>
    </r>
    <r>
      <rPr>
        <sz val="12"/>
        <rFont val="Times New Roman"/>
        <charset val="134"/>
      </rPr>
      <t>(m)</t>
    </r>
  </si>
  <si>
    <r>
      <rPr>
        <sz val="12"/>
        <rFont val="宋体"/>
        <charset val="134"/>
      </rPr>
      <t>修正系数</t>
    </r>
    <r>
      <rPr>
        <sz val="12"/>
        <rFont val="Times New Roman"/>
        <charset val="134"/>
      </rPr>
      <t>a</t>
    </r>
  </si>
  <si>
    <t>W</t>
  </si>
  <si>
    <r>
      <rPr>
        <sz val="16"/>
        <rFont val="宋体"/>
        <charset val="134"/>
      </rPr>
      <t>重型动力触探</t>
    </r>
    <r>
      <rPr>
        <sz val="16"/>
        <rFont val="Times New Roman"/>
        <charset val="134"/>
      </rPr>
      <t>N63.5</t>
    </r>
  </si>
  <si>
    <t>铁路工程地质原位测试规程</t>
  </si>
  <si>
    <t>TB 10041-2003</t>
  </si>
  <si>
    <t>P54-55</t>
  </si>
  <si>
    <t>杆长＞20m按20m考虑，锤击数＞50系数按50计</t>
  </si>
  <si>
    <r>
      <rPr>
        <sz val="16"/>
        <rFont val="宋体"/>
        <charset val="134"/>
      </rPr>
      <t>杆长</t>
    </r>
    <r>
      <rPr>
        <sz val="16"/>
        <rFont val="Times New Roman"/>
        <charset val="134"/>
      </rPr>
      <t>L(m)</t>
    </r>
  </si>
  <si>
    <t>修正系数</t>
  </si>
  <si>
    <r>
      <rPr>
        <sz val="16"/>
        <rFont val="宋体"/>
        <charset val="134"/>
      </rPr>
      <t>锤击数</t>
    </r>
    <r>
      <rPr>
        <sz val="16"/>
        <rFont val="Times New Roman"/>
        <charset val="134"/>
      </rPr>
      <t>N63.5</t>
    </r>
  </si>
  <si>
    <t>校正击数</t>
  </si>
  <si>
    <r>
      <rPr>
        <sz val="12"/>
        <rFont val="宋体"/>
        <charset val="134"/>
      </rPr>
      <t>砂类土σ</t>
    </r>
    <r>
      <rPr>
        <sz val="12"/>
        <rFont val="Times New Roman"/>
        <charset val="134"/>
      </rPr>
      <t>0=</t>
    </r>
  </si>
  <si>
    <t>kPa</t>
  </si>
  <si>
    <t>采用击数</t>
  </si>
  <si>
    <r>
      <rPr>
        <sz val="12"/>
        <rFont val="宋体"/>
        <charset val="134"/>
      </rPr>
      <t>碎石类土σ</t>
    </r>
    <r>
      <rPr>
        <sz val="12"/>
        <rFont val="Times New Roman"/>
        <charset val="134"/>
      </rPr>
      <t>0=</t>
    </r>
  </si>
  <si>
    <t>N63.5</t>
  </si>
  <si>
    <t>L(m)</t>
  </si>
  <si>
    <r>
      <rPr>
        <sz val="12"/>
        <rFont val="宋体"/>
        <charset val="134"/>
      </rPr>
      <t>杆长</t>
    </r>
    <r>
      <rPr>
        <sz val="12"/>
        <rFont val="Times New Roman"/>
        <charset val="134"/>
      </rPr>
      <t>L(m)</t>
    </r>
  </si>
  <si>
    <r>
      <rPr>
        <sz val="12"/>
        <rFont val="宋体"/>
        <charset val="134"/>
      </rPr>
      <t>锤击数</t>
    </r>
    <r>
      <rPr>
        <sz val="12"/>
        <rFont val="Times New Roman"/>
        <charset val="134"/>
      </rPr>
      <t>N63.5</t>
    </r>
  </si>
  <si>
    <r>
      <rPr>
        <sz val="12"/>
        <rFont val="宋体"/>
        <charset val="134"/>
      </rPr>
      <t>σ</t>
    </r>
    <r>
      <rPr>
        <sz val="12"/>
        <rFont val="Times New Roman"/>
        <charset val="134"/>
      </rPr>
      <t>0=</t>
    </r>
  </si>
  <si>
    <t>-</t>
  </si>
  <si>
    <t>静力触探天然地基基本承载力</t>
  </si>
  <si>
    <t>静力触探技术规则</t>
  </si>
  <si>
    <t>TBJ 37-93</t>
  </si>
  <si>
    <t>经验公式</t>
  </si>
  <si>
    <t>查表</t>
  </si>
  <si>
    <t>P28</t>
  </si>
  <si>
    <t>qc(MPa)</t>
  </si>
  <si>
    <t>fs(kPa)</t>
  </si>
  <si>
    <t>Rf(%)</t>
  </si>
  <si>
    <r>
      <rPr>
        <sz val="12"/>
        <rFont val="宋体"/>
        <charset val="134"/>
      </rPr>
      <t>σ</t>
    </r>
    <r>
      <rPr>
        <vertAlign val="subscript"/>
        <sz val="12"/>
        <rFont val="Times New Roman"/>
        <charset val="134"/>
      </rPr>
      <t>0</t>
    </r>
    <r>
      <rPr>
        <sz val="12"/>
        <rFont val="Times New Roman"/>
        <charset val="134"/>
      </rPr>
      <t>(kPa)</t>
    </r>
  </si>
  <si>
    <r>
      <rPr>
        <sz val="16"/>
        <rFont val="Times New Roman"/>
        <charset val="134"/>
      </rPr>
      <t>Q4</t>
    </r>
    <r>
      <rPr>
        <sz val="16"/>
        <rFont val="宋体"/>
        <charset val="134"/>
      </rPr>
      <t>黏性土</t>
    </r>
  </si>
  <si>
    <t>5.8*sqrt(ps)-46</t>
  </si>
  <si>
    <t>ps=1.1*qc</t>
  </si>
  <si>
    <t>定名</t>
  </si>
  <si>
    <t>粉土、砂</t>
  </si>
  <si>
    <r>
      <rPr>
        <sz val="12"/>
        <rFont val="Times New Roman"/>
        <charset val="134"/>
      </rPr>
      <t>0.89(ps)</t>
    </r>
    <r>
      <rPr>
        <vertAlign val="superscript"/>
        <sz val="12"/>
        <rFont val="Times New Roman"/>
        <charset val="134"/>
      </rPr>
      <t>0.63</t>
    </r>
    <r>
      <rPr>
        <sz val="12"/>
        <rFont val="Times New Roman"/>
        <charset val="134"/>
      </rPr>
      <t>+14.4</t>
    </r>
  </si>
  <si>
    <r>
      <rPr>
        <sz val="12"/>
        <rFont val="宋体"/>
        <charset val="134"/>
      </rPr>
      <t>图</t>
    </r>
    <r>
      <rPr>
        <sz val="12"/>
        <rFont val="Times New Roman"/>
        <charset val="134"/>
      </rPr>
      <t>10.5.5</t>
    </r>
  </si>
  <si>
    <t>P68</t>
  </si>
  <si>
    <t>软土</t>
  </si>
  <si>
    <t>0.112*ps+5</t>
  </si>
  <si>
    <t>黏土</t>
  </si>
  <si>
    <t>Rf=0.5915qc+2.8</t>
  </si>
  <si>
    <t>粉质黏土</t>
  </si>
  <si>
    <t>Rf=0.2973qc+1.6</t>
  </si>
  <si>
    <r>
      <rPr>
        <sz val="16"/>
        <rFont val="Times New Roman"/>
        <charset val="134"/>
      </rPr>
      <t>Q3</t>
    </r>
    <r>
      <rPr>
        <sz val="16"/>
        <rFont val="宋体"/>
        <charset val="134"/>
      </rPr>
      <t>黏性土</t>
    </r>
  </si>
  <si>
    <t>0.1*ps</t>
  </si>
  <si>
    <t>粉土</t>
  </si>
  <si>
    <t>Rf=0.1013qc+0.32</t>
  </si>
  <si>
    <t>砂土</t>
  </si>
  <si>
    <t>东南部</t>
  </si>
  <si>
    <t>新黄土</t>
  </si>
  <si>
    <t>西北部</t>
  </si>
  <si>
    <t>边缘带</t>
  </si>
  <si>
    <t>ps(MPa)</t>
  </si>
  <si>
    <r>
      <rPr>
        <sz val="12"/>
        <rFont val="Times New Roman"/>
        <charset val="134"/>
      </rPr>
      <t>Q3</t>
    </r>
    <r>
      <rPr>
        <sz val="12"/>
        <rFont val="宋体"/>
        <charset val="134"/>
      </rPr>
      <t>黏性土</t>
    </r>
  </si>
  <si>
    <r>
      <rPr>
        <sz val="12"/>
        <rFont val="Times New Roman"/>
        <charset val="134"/>
      </rPr>
      <t>Q4</t>
    </r>
    <r>
      <rPr>
        <sz val="12"/>
        <rFont val="宋体"/>
        <charset val="134"/>
      </rPr>
      <t>黏性土</t>
    </r>
  </si>
  <si>
    <r>
      <rPr>
        <sz val="16"/>
        <rFont val="宋体"/>
        <charset val="134"/>
      </rPr>
      <t>铁建</t>
    </r>
    <r>
      <rPr>
        <sz val="16"/>
        <rFont val="Times New Roman"/>
        <charset val="134"/>
      </rPr>
      <t>Q4</t>
    </r>
    <r>
      <rPr>
        <sz val="16"/>
        <rFont val="宋体"/>
        <charset val="134"/>
      </rPr>
      <t>黏性土基本承载力</t>
    </r>
  </si>
  <si>
    <t>TB 10012-2001</t>
  </si>
  <si>
    <t>P104</t>
  </si>
  <si>
    <r>
      <rPr>
        <sz val="16"/>
        <rFont val="宋体"/>
        <charset val="134"/>
      </rPr>
      <t>孔隙比</t>
    </r>
    <r>
      <rPr>
        <sz val="16"/>
        <rFont val="Times New Roman"/>
        <charset val="134"/>
      </rPr>
      <t>e</t>
    </r>
  </si>
  <si>
    <r>
      <rPr>
        <sz val="16"/>
        <rFont val="宋体"/>
        <charset val="134"/>
      </rPr>
      <t>σ</t>
    </r>
    <r>
      <rPr>
        <vertAlign val="subscript"/>
        <sz val="16"/>
        <rFont val="Times New Roman"/>
        <charset val="134"/>
      </rPr>
      <t>0</t>
    </r>
    <r>
      <rPr>
        <sz val="16"/>
        <rFont val="Times New Roman"/>
        <charset val="134"/>
      </rPr>
      <t>=</t>
    </r>
  </si>
  <si>
    <r>
      <rPr>
        <sz val="16"/>
        <rFont val="宋体"/>
        <charset val="134"/>
      </rPr>
      <t>液性指数</t>
    </r>
    <r>
      <rPr>
        <sz val="16"/>
        <rFont val="Times New Roman"/>
        <charset val="134"/>
      </rPr>
      <t>I</t>
    </r>
    <r>
      <rPr>
        <vertAlign val="subscript"/>
        <sz val="16"/>
        <rFont val="Times New Roman"/>
        <charset val="134"/>
      </rPr>
      <t>L</t>
    </r>
  </si>
  <si>
    <r>
      <rPr>
        <sz val="12"/>
        <rFont val="Times New Roman"/>
        <charset val="134"/>
      </rPr>
      <t>I</t>
    </r>
    <r>
      <rPr>
        <vertAlign val="subscript"/>
        <sz val="12"/>
        <rFont val="Times New Roman"/>
        <charset val="134"/>
      </rPr>
      <t>L</t>
    </r>
  </si>
  <si>
    <t>e</t>
  </si>
  <si>
    <t>IL</t>
  </si>
  <si>
    <t>铁建粉土基本承载力</t>
  </si>
  <si>
    <t>P103</t>
  </si>
  <si>
    <r>
      <rPr>
        <sz val="16"/>
        <rFont val="宋体"/>
        <charset val="134"/>
      </rPr>
      <t>天然含水量</t>
    </r>
    <r>
      <rPr>
        <sz val="16"/>
        <rFont val="Times New Roman"/>
        <charset val="134"/>
      </rPr>
      <t>W</t>
    </r>
  </si>
  <si>
    <r>
      <rPr>
        <sz val="16"/>
        <rFont val="宋体"/>
        <charset val="134"/>
      </rPr>
      <t>铁建</t>
    </r>
    <r>
      <rPr>
        <sz val="16"/>
        <rFont val="Times New Roman"/>
        <charset val="134"/>
      </rPr>
      <t>Q</t>
    </r>
    <r>
      <rPr>
        <vertAlign val="subscript"/>
        <sz val="16"/>
        <rFont val="Times New Roman"/>
        <charset val="134"/>
      </rPr>
      <t>3</t>
    </r>
    <r>
      <rPr>
        <sz val="16"/>
        <rFont val="Times New Roman"/>
        <charset val="134"/>
      </rPr>
      <t>Q</t>
    </r>
    <r>
      <rPr>
        <vertAlign val="subscript"/>
        <sz val="16"/>
        <rFont val="Times New Roman"/>
        <charset val="134"/>
      </rPr>
      <t>4</t>
    </r>
    <r>
      <rPr>
        <sz val="16"/>
        <rFont val="宋体"/>
        <charset val="134"/>
      </rPr>
      <t>新黄土基本承载力</t>
    </r>
  </si>
  <si>
    <t>P105</t>
  </si>
  <si>
    <r>
      <rPr>
        <sz val="16"/>
        <rFont val="宋体"/>
        <charset val="134"/>
      </rPr>
      <t>液限</t>
    </r>
    <r>
      <rPr>
        <sz val="16"/>
        <rFont val="Times New Roman"/>
        <charset val="134"/>
      </rPr>
      <t>WL</t>
    </r>
  </si>
  <si>
    <t>WL</t>
  </si>
  <si>
    <r>
      <rPr>
        <sz val="9"/>
        <rFont val="宋体"/>
        <charset val="134"/>
      </rPr>
      <t>σ</t>
    </r>
    <r>
      <rPr>
        <sz val="9"/>
        <rFont val="Times New Roman"/>
        <charset val="134"/>
      </rPr>
      <t>1=</t>
    </r>
  </si>
  <si>
    <r>
      <rPr>
        <sz val="9"/>
        <rFont val="宋体"/>
        <charset val="134"/>
      </rPr>
      <t>σ</t>
    </r>
    <r>
      <rPr>
        <sz val="9"/>
        <rFont val="Times New Roman"/>
        <charset val="134"/>
      </rPr>
      <t>2=</t>
    </r>
  </si>
  <si>
    <r>
      <rPr>
        <sz val="9"/>
        <rFont val="宋体"/>
        <charset val="134"/>
      </rPr>
      <t>σ</t>
    </r>
    <r>
      <rPr>
        <sz val="9"/>
        <rFont val="Times New Roman"/>
        <charset val="134"/>
      </rPr>
      <t>3=</t>
    </r>
  </si>
  <si>
    <r>
      <rPr>
        <sz val="16"/>
        <rFont val="宋体"/>
        <charset val="134"/>
      </rPr>
      <t>铁建</t>
    </r>
    <r>
      <rPr>
        <sz val="16"/>
        <rFont val="Times New Roman"/>
        <charset val="134"/>
      </rPr>
      <t>Q</t>
    </r>
    <r>
      <rPr>
        <vertAlign val="subscript"/>
        <sz val="16"/>
        <rFont val="Times New Roman"/>
        <charset val="134"/>
      </rPr>
      <t>1</t>
    </r>
    <r>
      <rPr>
        <vertAlign val="subscript"/>
        <sz val="16"/>
        <rFont val="宋体"/>
        <charset val="134"/>
      </rPr>
      <t>、</t>
    </r>
    <r>
      <rPr>
        <vertAlign val="subscript"/>
        <sz val="16"/>
        <rFont val="Times New Roman"/>
        <charset val="134"/>
      </rPr>
      <t>2</t>
    </r>
    <r>
      <rPr>
        <sz val="16"/>
        <rFont val="宋体"/>
        <charset val="134"/>
      </rPr>
      <t>老黄土基本承载力</t>
    </r>
  </si>
  <si>
    <t>含水率W</t>
  </si>
  <si>
    <t>液限WL</t>
  </si>
  <si>
    <t>W/WL</t>
  </si>
  <si>
    <t>＜0.7</t>
  </si>
  <si>
    <t>0.7~0.8</t>
  </si>
  <si>
    <t>0.8~0.9</t>
  </si>
  <si>
    <t>＞0.9</t>
  </si>
  <si>
    <t>&lt;0.6</t>
  </si>
  <si>
    <t>0.6~0.8</t>
  </si>
  <si>
    <t>&gt;0.8</t>
  </si>
  <si>
    <t>铁建软土基本承载力</t>
  </si>
  <si>
    <r>
      <rPr>
        <sz val="14"/>
        <rFont val="宋体"/>
        <charset val="134"/>
      </rPr>
      <t>天然含水量</t>
    </r>
    <r>
      <rPr>
        <sz val="14"/>
        <rFont val="Times New Roman"/>
        <charset val="134"/>
      </rPr>
      <t>W</t>
    </r>
  </si>
  <si>
    <r>
      <rPr>
        <sz val="12"/>
        <rFont val="宋体"/>
        <charset val="134"/>
      </rPr>
      <t>σ</t>
    </r>
    <r>
      <rPr>
        <vertAlign val="subscript"/>
        <sz val="12"/>
        <rFont val="Times New Roman"/>
        <charset val="134"/>
      </rPr>
      <t>0</t>
    </r>
  </si>
  <si>
    <r>
      <rPr>
        <sz val="16"/>
        <rFont val="宋体"/>
        <charset val="134"/>
      </rPr>
      <t>铁建</t>
    </r>
    <r>
      <rPr>
        <sz val="16"/>
        <rFont val="Times New Roman"/>
        <charset val="134"/>
      </rPr>
      <t>Q3</t>
    </r>
    <r>
      <rPr>
        <sz val="16"/>
        <rFont val="宋体"/>
        <charset val="134"/>
      </rPr>
      <t>前黏性土基本承载力</t>
    </r>
  </si>
  <si>
    <r>
      <rPr>
        <sz val="14"/>
        <rFont val="宋体"/>
        <charset val="134"/>
      </rPr>
      <t>压缩模量</t>
    </r>
    <r>
      <rPr>
        <sz val="14"/>
        <rFont val="Times New Roman"/>
        <charset val="134"/>
      </rPr>
      <t>MPa</t>
    </r>
  </si>
  <si>
    <r>
      <rPr>
        <sz val="12"/>
        <rFont val="宋体"/>
        <charset val="134"/>
      </rPr>
      <t>压缩模量</t>
    </r>
    <r>
      <rPr>
        <sz val="12"/>
        <rFont val="Times New Roman"/>
        <charset val="134"/>
      </rPr>
      <t>MPa</t>
    </r>
  </si>
  <si>
    <r>
      <rPr>
        <sz val="12"/>
        <rFont val="宋体"/>
        <charset val="134"/>
      </rPr>
      <t>基本承载力σ</t>
    </r>
    <r>
      <rPr>
        <vertAlign val="subscript"/>
        <sz val="12"/>
        <rFont val="Times New Roman"/>
        <charset val="134"/>
      </rPr>
      <t>0</t>
    </r>
  </si>
  <si>
    <t>铁建残积黏性土基本承载力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</si>
</sst>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43">
    <font>
      <sz val="12"/>
      <name val="宋体"/>
      <charset val="134"/>
    </font>
    <font>
      <sz val="16"/>
      <name val="宋体"/>
      <charset val="134"/>
    </font>
    <font>
      <sz val="10"/>
      <name val="宋体"/>
      <charset val="134"/>
    </font>
    <font>
      <sz val="8"/>
      <name val="Times New Roman"/>
      <charset val="134"/>
    </font>
    <font>
      <sz val="14"/>
      <name val="宋体"/>
      <charset val="134"/>
    </font>
    <font>
      <sz val="16"/>
      <color indexed="10"/>
      <name val="宋体"/>
      <charset val="134"/>
    </font>
    <font>
      <sz val="12"/>
      <name val="Times New Roman"/>
      <charset val="134"/>
    </font>
    <font>
      <sz val="16"/>
      <name val="Times New Roman"/>
      <charset val="134"/>
    </font>
    <font>
      <sz val="9"/>
      <name val="宋体"/>
      <charset val="134"/>
    </font>
    <font>
      <sz val="18"/>
      <name val="宋体"/>
      <charset val="134"/>
    </font>
    <font>
      <sz val="14"/>
      <color indexed="10"/>
      <name val="宋体"/>
      <charset val="134"/>
    </font>
    <font>
      <sz val="16"/>
      <color indexed="12"/>
      <name val="宋体"/>
      <charset val="134"/>
    </font>
    <font>
      <sz val="12"/>
      <color indexed="10"/>
      <name val="宋体"/>
      <charset val="134"/>
    </font>
    <font>
      <sz val="8"/>
      <name val="宋体"/>
      <charset val="134"/>
    </font>
    <font>
      <sz val="16"/>
      <color indexed="14"/>
      <name val="宋体"/>
      <charset val="134"/>
    </font>
    <font>
      <sz val="16"/>
      <color indexed="14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Times New Roman"/>
      <charset val="134"/>
    </font>
    <font>
      <vertAlign val="subscript"/>
      <sz val="16"/>
      <name val="Times New Roman"/>
      <charset val="134"/>
    </font>
    <font>
      <vertAlign val="subscript"/>
      <sz val="16"/>
      <name val="宋体"/>
      <charset val="134"/>
    </font>
    <font>
      <vertAlign val="subscript"/>
      <sz val="12"/>
      <name val="Times New Roman"/>
      <charset val="134"/>
    </font>
    <font>
      <vertAlign val="superscript"/>
      <sz val="12"/>
      <name val="Times New Roman"/>
      <charset val="134"/>
    </font>
    <font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9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4" borderId="0" xfId="0" applyFont="1" applyFill="1" applyAlignment="1" applyProtection="1">
      <alignment horizontal="center" vertical="center"/>
      <protection locked="0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" fillId="3" borderId="1" xfId="0" applyNumberFormat="1" applyFont="1" applyFill="1" applyBorder="1" applyAlignment="1" applyProtection="1">
      <alignment horizontal="center" vertical="center"/>
      <protection locked="0"/>
    </xf>
    <xf numFmtId="2" fontId="1" fillId="5" borderId="1" xfId="0" applyNumberFormat="1" applyFont="1" applyFill="1" applyBorder="1" applyAlignment="1" applyProtection="1">
      <alignment horizontal="center" vertical="center"/>
      <protection locked="0"/>
    </xf>
    <xf numFmtId="2" fontId="1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shrinkToFit="1"/>
    </xf>
    <xf numFmtId="2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2" fontId="5" fillId="0" borderId="1" xfId="0" applyNumberFormat="1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3" fontId="0" fillId="0" borderId="1" xfId="1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2" fontId="5" fillId="0" borderId="0" xfId="0" applyNumberFormat="1" applyFont="1" applyFill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shrinkToFit="1"/>
    </xf>
    <xf numFmtId="176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FF00FF"/>
      <color rgb="00CC99FF"/>
      <color rgb="0099CCFF"/>
      <color rgb="00CCFFFF"/>
      <color rgb="00FF0000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:E1"/>
    </sheetView>
  </sheetViews>
  <sheetFormatPr defaultColWidth="8.75" defaultRowHeight="15"/>
  <cols>
    <col min="1" max="1" width="14.25" style="1" customWidth="1"/>
    <col min="2" max="16384" width="8.75" style="1"/>
  </cols>
  <sheetData>
    <row r="1" ht="35.25" customHeight="1" spans="1:11">
      <c r="A1" s="2" t="s">
        <v>0</v>
      </c>
      <c r="B1" s="2"/>
      <c r="C1" s="2"/>
      <c r="D1" s="2"/>
      <c r="E1" s="2"/>
    </row>
    <row r="2" ht="24" customHeight="1" spans="1:11">
      <c r="A2" s="3" t="s">
        <v>1</v>
      </c>
      <c r="B2" s="3"/>
      <c r="C2" s="3"/>
      <c r="D2" s="4"/>
      <c r="E2" s="4"/>
      <c r="F2" s="4"/>
    </row>
    <row r="4" ht="22.5" customHeight="1" spans="1:11">
      <c r="A4" s="5" t="s">
        <v>2</v>
      </c>
      <c r="B4" s="5"/>
      <c r="C4" s="6">
        <v>56</v>
      </c>
      <c r="D4" s="2" t="s">
        <v>3</v>
      </c>
      <c r="E4" s="2"/>
      <c r="F4" s="68">
        <f>IF(B11&lt;3,1,MAX(C9:K9))</f>
        <v>0.63</v>
      </c>
    </row>
    <row r="5" ht="21.75" customHeight="1" spans="1:11">
      <c r="A5" s="5" t="s">
        <v>4</v>
      </c>
      <c r="B5" s="5"/>
      <c r="C5" s="29">
        <v>33</v>
      </c>
      <c r="D5" s="2" t="s">
        <v>5</v>
      </c>
      <c r="E5" s="2"/>
      <c r="F5" s="69">
        <f>C5*F4</f>
        <v>20.79</v>
      </c>
    </row>
    <row r="6" ht="19.5" customHeight="1"/>
    <row r="7" ht="15.5" spans="1:11">
      <c r="A7" s="9" t="s">
        <v>6</v>
      </c>
      <c r="B7" s="9">
        <v>3</v>
      </c>
      <c r="C7" s="9">
        <v>6</v>
      </c>
      <c r="D7" s="9">
        <v>9</v>
      </c>
      <c r="E7" s="9">
        <v>12</v>
      </c>
      <c r="F7" s="9">
        <v>15</v>
      </c>
      <c r="G7" s="9">
        <v>18</v>
      </c>
      <c r="H7" s="9">
        <v>21</v>
      </c>
      <c r="I7" s="9">
        <v>24</v>
      </c>
      <c r="J7" s="9">
        <v>27</v>
      </c>
      <c r="K7" s="9">
        <v>30</v>
      </c>
    </row>
    <row r="8" ht="15.5" spans="1:11">
      <c r="A8" s="9" t="s">
        <v>7</v>
      </c>
      <c r="B8" s="9">
        <v>1</v>
      </c>
      <c r="C8" s="9">
        <v>0.92</v>
      </c>
      <c r="D8" s="9">
        <v>0.86</v>
      </c>
      <c r="E8" s="9">
        <v>0.81</v>
      </c>
      <c r="F8" s="9">
        <v>0.77</v>
      </c>
      <c r="G8" s="9">
        <v>0.73</v>
      </c>
      <c r="H8" s="9">
        <v>0.7</v>
      </c>
      <c r="I8" s="9">
        <v>0.68</v>
      </c>
      <c r="J8" s="9">
        <v>0.65</v>
      </c>
      <c r="K8" s="9">
        <v>0.63</v>
      </c>
    </row>
    <row r="9" hidden="1" spans="1:11">
      <c r="C9" s="1">
        <f>IF(AND($B$11&gt;=B7,$B$11&lt;C7),B8-($B$11-B7)*(B8-C8)/(C7-B7),0)</f>
        <v>0</v>
      </c>
      <c r="D9" s="1">
        <f>IF(AND($B$11&gt;=C7,$B$11&lt;D7),C8-($B$11-C7)*(C8-D8)/(D7-C7),0)</f>
        <v>0</v>
      </c>
      <c r="E9" s="1">
        <f>IF(AND($B$11&gt;=D7,$B$11&lt;E7),D8-($B$11-D7)*(D8-E8)/(E7-D7),0)</f>
        <v>0</v>
      </c>
      <c r="F9" s="1">
        <f>IF(AND($B$11&gt;=E7,$B$11&lt;F7),E8-($B$11-E7)*(E8-F8)/(F7-E7),0)</f>
        <v>0</v>
      </c>
      <c r="G9" s="1">
        <f>IF(AND($B$11&gt;=F7,$B$11&lt;G7),F8-($B$11-F7)*(F8-G8)/(G7-F7),0)</f>
        <v>0</v>
      </c>
      <c r="H9" s="1">
        <f>IF(AND($B$11&gt;=G7,$B$11&lt;=H7),G8-($B$11-G7)*(G8-H8)/(H7-G7),0)</f>
        <v>0</v>
      </c>
      <c r="I9" s="1">
        <f>IF(AND($B$11&gt;=H7,$B$11&lt;=I7),H8-($B$11-H7)*(H8-I8)/(I7-H7),0)</f>
        <v>0</v>
      </c>
      <c r="J9" s="1">
        <f>IF(AND($B$11&gt;=I7,$B$11&lt;=J7),I8-($B$11-I7)*(I8-J8)/(J7-I7),0)</f>
        <v>0</v>
      </c>
      <c r="K9" s="1">
        <f>IF(AND($B$11&gt;=J7,$B$11&lt;=K7),J8-($B$11-J7)*(J8-K8)/(K7-J7),0)</f>
        <v>0.63</v>
      </c>
    </row>
    <row r="10" hidden="1"/>
    <row r="11" ht="15.5" hidden="1" spans="1:11">
      <c r="A11" s="8" t="s">
        <v>8</v>
      </c>
      <c r="B11" s="1">
        <f>IF(C4&gt;=30,30,C4)</f>
        <v>30</v>
      </c>
    </row>
  </sheetData>
  <sheetProtection password="CC3D" sheet="1" objects="1" scenarios="1"/>
  <mergeCells count="7">
    <mergeCell ref="A1:E1"/>
    <mergeCell ref="A2:C2"/>
    <mergeCell ref="D2:E2"/>
    <mergeCell ref="A4:B4"/>
    <mergeCell ref="D4:E4"/>
    <mergeCell ref="A5:B5"/>
    <mergeCell ref="D5:E5"/>
  </mergeCells>
  <pageMargins left="0.747916666666667" right="0.747916666666667" top="0.984027777777778" bottom="0.984027777777778" header="0.511805555555556" footer="0.511805555555556"/>
  <pageSetup paperSize="9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workbookViewId="0">
      <selection activeCell="L5" sqref="L5"/>
    </sheetView>
  </sheetViews>
  <sheetFormatPr defaultColWidth="8.75" defaultRowHeight="15"/>
  <cols>
    <col min="1" max="2" width="8.75" style="1" customWidth="1"/>
    <col min="3" max="3" width="8.75" style="1" hidden="1" customWidth="1"/>
    <col min="4" max="4" width="8.75" style="1" customWidth="1"/>
    <col min="5" max="5" width="8.75" style="1" hidden="1" customWidth="1"/>
    <col min="6" max="6" width="8.75" style="1" customWidth="1"/>
    <col min="7" max="7" width="8.75" style="1" hidden="1" customWidth="1"/>
    <col min="8" max="8" width="8.75" style="1" customWidth="1"/>
    <col min="9" max="9" width="8.75" style="1" hidden="1" customWidth="1"/>
    <col min="10" max="10" width="8.75" style="1" customWidth="1"/>
    <col min="11" max="11" width="8.75" style="1" hidden="1" customWidth="1"/>
    <col min="12" max="12" width="8.75" style="1" customWidth="1"/>
    <col min="13" max="13" width="8.75" style="1" hidden="1" customWidth="1"/>
    <col min="14" max="14" width="8.75" style="1" customWidth="1"/>
    <col min="15" max="15" width="9" style="1" hidden="1" customWidth="1"/>
    <col min="16" max="16" width="8.75" style="1" customWidth="1"/>
    <col min="17" max="17" width="9" style="1" hidden="1" customWidth="1"/>
    <col min="18" max="18" width="8.75" style="1" customWidth="1"/>
    <col min="19" max="19" width="9" style="1"/>
    <col min="20" max="20" width="8.75" style="1" customWidth="1"/>
    <col min="21" max="21" width="9" style="1"/>
    <col min="22" max="22" width="8.75" style="1" customWidth="1"/>
    <col min="23" max="23" width="9" style="1" customWidth="1"/>
    <col min="24" max="24" width="8.75" style="1" customWidth="1"/>
    <col min="25" max="16384" width="8.75" style="1"/>
  </cols>
  <sheetData>
    <row r="1" ht="28.9" customHeight="1" spans="1:25">
      <c r="A1" s="2" t="s">
        <v>9</v>
      </c>
      <c r="B1" s="2"/>
      <c r="C1" s="2"/>
      <c r="D1" s="2"/>
      <c r="E1" s="2"/>
      <c r="F1" s="2"/>
      <c r="G1" s="2"/>
      <c r="H1" s="2"/>
      <c r="I1" s="2"/>
    </row>
    <row r="2" ht="18.75" customHeight="1" spans="1:25">
      <c r="A2" s="55" t="s">
        <v>10</v>
      </c>
      <c r="B2" s="55"/>
      <c r="C2" s="55"/>
      <c r="D2" s="55"/>
      <c r="E2" s="12" t="s">
        <v>11</v>
      </c>
      <c r="F2" s="12"/>
      <c r="G2" s="12"/>
      <c r="H2" s="12"/>
      <c r="J2" s="12" t="s">
        <v>12</v>
      </c>
    </row>
    <row r="3" ht="21" customHeight="1" spans="1:25">
      <c r="A3" s="56" t="s">
        <v>13</v>
      </c>
      <c r="B3" s="56"/>
      <c r="C3" s="56"/>
      <c r="D3" s="56"/>
      <c r="F3" s="57"/>
      <c r="G3" s="58"/>
      <c r="H3" s="58"/>
      <c r="J3" s="4"/>
    </row>
    <row r="4" ht="21.75" customHeight="1" spans="1:25">
      <c r="A4" s="2" t="s">
        <v>14</v>
      </c>
      <c r="B4" s="13"/>
      <c r="C4" s="2"/>
      <c r="D4" s="29">
        <v>10</v>
      </c>
      <c r="E4" s="2"/>
      <c r="F4" s="2" t="s">
        <v>15</v>
      </c>
      <c r="G4" s="2"/>
      <c r="H4" s="2"/>
      <c r="I4" s="2"/>
      <c r="J4" s="59">
        <f>IF(D4&lt;2,1,MAX(C19:R28))</f>
        <v>0.79</v>
      </c>
      <c r="N4" s="8"/>
    </row>
    <row r="5" ht="21" customHeight="1" spans="1:25">
      <c r="A5" s="2" t="s">
        <v>16</v>
      </c>
      <c r="B5" s="13"/>
      <c r="C5" s="2"/>
      <c r="D5" s="6">
        <v>15</v>
      </c>
      <c r="E5" s="2"/>
      <c r="F5" s="2" t="s">
        <v>17</v>
      </c>
      <c r="G5" s="2"/>
      <c r="H5" s="2"/>
      <c r="I5" s="2"/>
      <c r="J5" s="60">
        <f>D5*J4</f>
        <v>11.85</v>
      </c>
      <c r="N5" s="1" t="s">
        <v>18</v>
      </c>
      <c r="R5" s="61">
        <f>MAX(D37:R37)</f>
        <v>0</v>
      </c>
      <c r="S5" s="8" t="s">
        <v>19</v>
      </c>
    </row>
    <row r="6" ht="22.5" customHeight="1" spans="1:25">
      <c r="D6" s="1">
        <v>55</v>
      </c>
      <c r="F6" s="2" t="s">
        <v>20</v>
      </c>
      <c r="G6" s="2"/>
      <c r="H6" s="2"/>
      <c r="J6" s="62">
        <f>J5</f>
        <v>11.85</v>
      </c>
      <c r="N6" s="1" t="s">
        <v>21</v>
      </c>
      <c r="R6" s="61">
        <f>MAX(D38:R38,B42:R42)</f>
        <v>474</v>
      </c>
      <c r="S6" s="8" t="s">
        <v>19</v>
      </c>
    </row>
    <row r="7" ht="15.5" spans="1:25">
      <c r="B7" s="8" t="s">
        <v>22</v>
      </c>
      <c r="C7" s="8"/>
    </row>
    <row r="8" ht="15.5" spans="1:25">
      <c r="A8" s="10" t="s">
        <v>23</v>
      </c>
      <c r="B8" s="9">
        <v>5</v>
      </c>
      <c r="C8" s="9"/>
      <c r="D8" s="9">
        <v>10</v>
      </c>
      <c r="E8" s="9"/>
      <c r="F8" s="9">
        <v>15</v>
      </c>
      <c r="G8" s="9"/>
      <c r="H8" s="9">
        <v>20</v>
      </c>
      <c r="I8" s="9"/>
      <c r="J8" s="9">
        <v>25</v>
      </c>
      <c r="K8" s="9"/>
      <c r="L8" s="9">
        <v>30</v>
      </c>
      <c r="M8" s="9"/>
      <c r="N8" s="9">
        <v>35</v>
      </c>
      <c r="O8" s="9"/>
      <c r="P8" s="9">
        <v>40</v>
      </c>
      <c r="Q8" s="9"/>
      <c r="R8" s="9">
        <v>50</v>
      </c>
      <c r="S8" s="31"/>
      <c r="T8" s="63"/>
      <c r="U8" s="63"/>
      <c r="V8" s="63"/>
      <c r="W8" s="63"/>
      <c r="X8" s="63"/>
      <c r="Y8" s="63"/>
    </row>
    <row r="9" spans="1:25">
      <c r="A9" s="9">
        <v>2</v>
      </c>
      <c r="B9" s="9">
        <v>1</v>
      </c>
      <c r="C9" s="53">
        <f t="shared" ref="C9:C18" si="0">IF(AND($D$31&gt;=B$8,$D$31&lt;D$8),B9-($D$31-B$8)*(B9-D9)/5,0)</f>
        <v>0</v>
      </c>
      <c r="D9" s="9">
        <v>1</v>
      </c>
      <c r="E9" s="53">
        <f>IF(AND($D$31&gt;=D$8,$D$31&lt;F$8),D9-($D$31-D$8)*(D9-F9)/5,0)</f>
        <v>0</v>
      </c>
      <c r="F9" s="9">
        <v>1</v>
      </c>
      <c r="G9" s="53">
        <f>IF(AND($D$31&gt;=F$8,$D$31&lt;H$8),F9-($D$31-F$8)*(F9-H9)/5,0)</f>
        <v>1</v>
      </c>
      <c r="H9" s="9">
        <v>1</v>
      </c>
      <c r="I9" s="53">
        <f t="shared" ref="I9:I18" si="1">IF(AND($D$31&gt;=H$8,$D$31&lt;J$8),H9-($D$31-H$8)*(H9-J9)/5,0)</f>
        <v>0</v>
      </c>
      <c r="J9" s="9">
        <v>1</v>
      </c>
      <c r="K9" s="53">
        <f t="shared" ref="K9:K18" si="2">IF(AND($D$31&gt;=J$8,$D$31&lt;L$8),J9-($D$31-J$8)*(J9-L9)/5,0)</f>
        <v>0</v>
      </c>
      <c r="L9" s="9">
        <v>1</v>
      </c>
      <c r="M9" s="53">
        <f>IF(AND($D$31&gt;=L$8,$D$31&lt;N$8),L9-($D$31-L$8)*(L9-N9)/5,0)</f>
        <v>0</v>
      </c>
      <c r="N9" s="9">
        <v>1</v>
      </c>
      <c r="O9" s="53">
        <f>IF(AND($D$31&gt;=N$8,$D$31&lt;P$8),N9-($D$31-N$8)*(N9-P9)/5,0)</f>
        <v>0</v>
      </c>
      <c r="P9" s="9">
        <v>1</v>
      </c>
      <c r="Q9" s="53">
        <f>IF(AND($D$31&gt;=P$8,$D$31&lt;=R$8),P9-($D$31-P$8)*(P9-R9)/10,0)</f>
        <v>0</v>
      </c>
      <c r="R9" s="9">
        <v>1</v>
      </c>
      <c r="S9" s="31"/>
      <c r="T9" s="63"/>
      <c r="U9" s="63"/>
      <c r="V9" s="63"/>
      <c r="W9" s="63"/>
      <c r="X9" s="63"/>
    </row>
    <row r="10" spans="1:25">
      <c r="A10" s="9">
        <v>4</v>
      </c>
      <c r="B10" s="9">
        <v>0.96</v>
      </c>
      <c r="C10" s="53">
        <f t="shared" si="0"/>
        <v>0</v>
      </c>
      <c r="D10" s="9">
        <v>0.95</v>
      </c>
      <c r="E10" s="53">
        <f t="shared" ref="E10:E18" si="3">IF(AND($D$31&gt;=D$8,$D$31&lt;F$8),D10-($D$31-D$8)*(D10-F10)/5,0)</f>
        <v>0</v>
      </c>
      <c r="F10" s="9">
        <v>0.93</v>
      </c>
      <c r="G10" s="53">
        <f t="shared" ref="G10:G18" si="4">IF(AND($D$31&gt;=F$8,$D$31&lt;H$8),F10-($D$31-F$8)*(F10-H10)/5,0)</f>
        <v>0.93</v>
      </c>
      <c r="H10" s="9">
        <v>0.92</v>
      </c>
      <c r="I10" s="53">
        <f t="shared" si="1"/>
        <v>0</v>
      </c>
      <c r="J10" s="9">
        <v>0.9</v>
      </c>
      <c r="K10" s="53">
        <f t="shared" si="2"/>
        <v>0</v>
      </c>
      <c r="L10" s="9">
        <v>0.89</v>
      </c>
      <c r="M10" s="53">
        <f t="shared" ref="M10:M18" si="5">IF(AND($D$31&gt;=L$8,$D$31&lt;N$8),L10-($D$31-L$8)*(L10-N10)/5,0)</f>
        <v>0</v>
      </c>
      <c r="N10" s="9">
        <v>0.87</v>
      </c>
      <c r="O10" s="53">
        <f t="shared" ref="O10:O18" si="6">IF(AND($D$31&gt;=N$8,$D$31&lt;P$8),N10-($D$31-N$8)*(N10-P10)/5,0)</f>
        <v>0</v>
      </c>
      <c r="P10" s="9">
        <v>0.86</v>
      </c>
      <c r="Q10" s="53">
        <f t="shared" ref="Q10:Q18" si="7">IF(AND($D$31&gt;=P$8,$D$31&lt;=R$8),P10-($D$31-P$8)*(P10-R10)/10,0)</f>
        <v>0</v>
      </c>
      <c r="R10" s="9">
        <v>0.84</v>
      </c>
      <c r="S10" s="31"/>
      <c r="T10" s="63"/>
      <c r="U10" s="63"/>
      <c r="V10" s="63"/>
      <c r="W10" s="63"/>
      <c r="X10" s="63"/>
    </row>
    <row r="11" spans="1:25">
      <c r="A11" s="9">
        <v>6</v>
      </c>
      <c r="B11" s="9">
        <v>0.93</v>
      </c>
      <c r="C11" s="53">
        <f t="shared" si="0"/>
        <v>0</v>
      </c>
      <c r="D11" s="9">
        <v>0.9</v>
      </c>
      <c r="E11" s="53">
        <f t="shared" si="3"/>
        <v>0</v>
      </c>
      <c r="F11" s="9">
        <v>0.88</v>
      </c>
      <c r="G11" s="53">
        <f t="shared" si="4"/>
        <v>0.88</v>
      </c>
      <c r="H11" s="9">
        <v>0.85</v>
      </c>
      <c r="I11" s="53">
        <f t="shared" si="1"/>
        <v>0</v>
      </c>
      <c r="J11" s="9">
        <v>0.83</v>
      </c>
      <c r="K11" s="53">
        <f t="shared" si="2"/>
        <v>0</v>
      </c>
      <c r="L11" s="9">
        <v>0.81</v>
      </c>
      <c r="M11" s="53">
        <f t="shared" si="5"/>
        <v>0</v>
      </c>
      <c r="N11" s="9">
        <v>0.79</v>
      </c>
      <c r="O11" s="53">
        <f t="shared" si="6"/>
        <v>0</v>
      </c>
      <c r="P11" s="9">
        <v>0.78</v>
      </c>
      <c r="Q11" s="53">
        <f t="shared" si="7"/>
        <v>0</v>
      </c>
      <c r="R11" s="9">
        <v>0.75</v>
      </c>
      <c r="S11" s="31"/>
      <c r="T11" s="63"/>
      <c r="U11" s="63"/>
      <c r="V11" s="63"/>
      <c r="W11" s="63"/>
      <c r="X11" s="63"/>
    </row>
    <row r="12" spans="1:25">
      <c r="A12" s="9">
        <v>8</v>
      </c>
      <c r="B12" s="9">
        <v>0.9</v>
      </c>
      <c r="C12" s="53">
        <f t="shared" si="0"/>
        <v>0</v>
      </c>
      <c r="D12" s="9">
        <v>0.86</v>
      </c>
      <c r="E12" s="53">
        <f t="shared" si="3"/>
        <v>0</v>
      </c>
      <c r="F12" s="9">
        <v>0.83</v>
      </c>
      <c r="G12" s="53">
        <f t="shared" si="4"/>
        <v>0.83</v>
      </c>
      <c r="H12" s="9">
        <v>0.8</v>
      </c>
      <c r="I12" s="53">
        <f t="shared" si="1"/>
        <v>0</v>
      </c>
      <c r="J12" s="9">
        <v>0.77</v>
      </c>
      <c r="K12" s="53">
        <f t="shared" si="2"/>
        <v>0</v>
      </c>
      <c r="L12" s="9">
        <v>0.75</v>
      </c>
      <c r="M12" s="53">
        <f t="shared" si="5"/>
        <v>0</v>
      </c>
      <c r="N12" s="9">
        <v>0.73</v>
      </c>
      <c r="O12" s="53">
        <f t="shared" si="6"/>
        <v>0</v>
      </c>
      <c r="P12" s="9">
        <v>0.71</v>
      </c>
      <c r="Q12" s="53">
        <f t="shared" si="7"/>
        <v>0</v>
      </c>
      <c r="R12" s="9">
        <v>0.67</v>
      </c>
      <c r="S12" s="31"/>
      <c r="T12" s="63"/>
      <c r="U12" s="63"/>
      <c r="V12" s="63"/>
      <c r="W12" s="63"/>
      <c r="X12" s="63"/>
    </row>
    <row r="13" spans="1:25">
      <c r="A13" s="9">
        <v>10</v>
      </c>
      <c r="B13" s="9">
        <v>0.88</v>
      </c>
      <c r="C13" s="53">
        <f t="shared" si="0"/>
        <v>0</v>
      </c>
      <c r="D13" s="9">
        <v>0.83</v>
      </c>
      <c r="E13" s="53">
        <f t="shared" si="3"/>
        <v>0</v>
      </c>
      <c r="F13" s="9">
        <v>0.79</v>
      </c>
      <c r="G13" s="53">
        <f t="shared" si="4"/>
        <v>0.79</v>
      </c>
      <c r="H13" s="9">
        <v>0.75</v>
      </c>
      <c r="I13" s="53">
        <f t="shared" si="1"/>
        <v>0</v>
      </c>
      <c r="J13" s="9">
        <v>0.72</v>
      </c>
      <c r="K13" s="53">
        <f t="shared" si="2"/>
        <v>0</v>
      </c>
      <c r="L13" s="9">
        <v>0.69</v>
      </c>
      <c r="M13" s="53">
        <f t="shared" si="5"/>
        <v>0</v>
      </c>
      <c r="N13" s="9">
        <v>0.67</v>
      </c>
      <c r="O13" s="53">
        <f t="shared" si="6"/>
        <v>0</v>
      </c>
      <c r="P13" s="9">
        <v>0.64</v>
      </c>
      <c r="Q13" s="53">
        <f t="shared" si="7"/>
        <v>0</v>
      </c>
      <c r="R13" s="9">
        <v>0.61</v>
      </c>
      <c r="S13" s="31"/>
      <c r="T13" s="63"/>
      <c r="U13" s="63"/>
      <c r="V13" s="63"/>
      <c r="W13" s="63"/>
      <c r="X13" s="63"/>
    </row>
    <row r="14" spans="1:25">
      <c r="A14" s="9">
        <v>12</v>
      </c>
      <c r="B14" s="9">
        <v>0.85</v>
      </c>
      <c r="C14" s="53">
        <f t="shared" si="0"/>
        <v>0</v>
      </c>
      <c r="D14" s="9">
        <v>0.79</v>
      </c>
      <c r="E14" s="53">
        <f t="shared" si="3"/>
        <v>0</v>
      </c>
      <c r="F14" s="9">
        <v>0.75</v>
      </c>
      <c r="G14" s="53">
        <f t="shared" si="4"/>
        <v>0.75</v>
      </c>
      <c r="H14" s="9">
        <v>0.7</v>
      </c>
      <c r="I14" s="53">
        <f t="shared" si="1"/>
        <v>0</v>
      </c>
      <c r="J14" s="9">
        <v>0.67</v>
      </c>
      <c r="K14" s="53">
        <f t="shared" si="2"/>
        <v>0</v>
      </c>
      <c r="L14" s="9">
        <v>0.64</v>
      </c>
      <c r="M14" s="53">
        <f t="shared" si="5"/>
        <v>0</v>
      </c>
      <c r="N14" s="9">
        <v>0.61</v>
      </c>
      <c r="O14" s="53">
        <f t="shared" si="6"/>
        <v>0</v>
      </c>
      <c r="P14" s="9">
        <v>0.59</v>
      </c>
      <c r="Q14" s="53">
        <f t="shared" si="7"/>
        <v>0</v>
      </c>
      <c r="R14" s="9">
        <v>0.55</v>
      </c>
      <c r="S14" s="31"/>
      <c r="T14" s="63"/>
      <c r="U14" s="63"/>
      <c r="V14" s="63"/>
      <c r="W14" s="63"/>
      <c r="X14" s="63"/>
    </row>
    <row r="15" spans="1:25">
      <c r="A15" s="9">
        <v>14</v>
      </c>
      <c r="B15" s="9">
        <v>0.82</v>
      </c>
      <c r="C15" s="53">
        <f t="shared" si="0"/>
        <v>0</v>
      </c>
      <c r="D15" s="9">
        <v>0.76</v>
      </c>
      <c r="E15" s="53">
        <f t="shared" si="3"/>
        <v>0</v>
      </c>
      <c r="F15" s="9">
        <v>0.71</v>
      </c>
      <c r="G15" s="53">
        <f t="shared" si="4"/>
        <v>0.71</v>
      </c>
      <c r="H15" s="9">
        <v>0.66</v>
      </c>
      <c r="I15" s="53">
        <f t="shared" si="1"/>
        <v>0</v>
      </c>
      <c r="J15" s="9">
        <v>0.62</v>
      </c>
      <c r="K15" s="53">
        <f t="shared" si="2"/>
        <v>0</v>
      </c>
      <c r="L15" s="9">
        <v>0.58</v>
      </c>
      <c r="M15" s="53">
        <f t="shared" si="5"/>
        <v>0</v>
      </c>
      <c r="N15" s="9">
        <v>0.56</v>
      </c>
      <c r="O15" s="53">
        <f t="shared" si="6"/>
        <v>0</v>
      </c>
      <c r="P15" s="9">
        <v>0.53</v>
      </c>
      <c r="Q15" s="53">
        <f t="shared" si="7"/>
        <v>0</v>
      </c>
      <c r="R15" s="9">
        <v>0.5</v>
      </c>
      <c r="S15" s="31"/>
      <c r="T15" s="63"/>
      <c r="U15" s="63"/>
      <c r="V15" s="63"/>
      <c r="W15" s="63"/>
      <c r="X15" s="63"/>
    </row>
    <row r="16" spans="1:25">
      <c r="A16" s="9">
        <v>16</v>
      </c>
      <c r="B16" s="9">
        <v>0.79</v>
      </c>
      <c r="C16" s="53">
        <f t="shared" si="0"/>
        <v>0</v>
      </c>
      <c r="D16" s="9">
        <v>0.73</v>
      </c>
      <c r="E16" s="53">
        <f t="shared" si="3"/>
        <v>0</v>
      </c>
      <c r="F16" s="9">
        <v>0.67</v>
      </c>
      <c r="G16" s="53">
        <f t="shared" si="4"/>
        <v>0.67</v>
      </c>
      <c r="H16" s="9">
        <v>0.62</v>
      </c>
      <c r="I16" s="53">
        <f t="shared" si="1"/>
        <v>0</v>
      </c>
      <c r="J16" s="9">
        <v>0.57</v>
      </c>
      <c r="K16" s="53">
        <f t="shared" si="2"/>
        <v>0</v>
      </c>
      <c r="L16" s="9">
        <v>0.54</v>
      </c>
      <c r="M16" s="53">
        <f t="shared" si="5"/>
        <v>0</v>
      </c>
      <c r="N16" s="9">
        <v>0.51</v>
      </c>
      <c r="O16" s="53">
        <f t="shared" si="6"/>
        <v>0</v>
      </c>
      <c r="P16" s="9">
        <v>0.48</v>
      </c>
      <c r="Q16" s="53">
        <f t="shared" si="7"/>
        <v>0</v>
      </c>
      <c r="R16" s="9">
        <v>0.45</v>
      </c>
      <c r="S16" s="31"/>
      <c r="T16" s="63"/>
      <c r="U16" s="63"/>
      <c r="V16" s="63"/>
      <c r="W16" s="63"/>
      <c r="X16" s="63"/>
    </row>
    <row r="17" spans="1:24">
      <c r="A17" s="9">
        <v>18</v>
      </c>
      <c r="B17" s="9">
        <v>0.77</v>
      </c>
      <c r="C17" s="53">
        <f t="shared" si="0"/>
        <v>0</v>
      </c>
      <c r="D17" s="9">
        <v>0.7</v>
      </c>
      <c r="E17" s="53">
        <f t="shared" si="3"/>
        <v>0</v>
      </c>
      <c r="F17" s="9">
        <v>0.63</v>
      </c>
      <c r="G17" s="53">
        <f t="shared" si="4"/>
        <v>0.63</v>
      </c>
      <c r="H17" s="9">
        <v>0.57</v>
      </c>
      <c r="I17" s="53">
        <f t="shared" si="1"/>
        <v>0</v>
      </c>
      <c r="J17" s="9">
        <v>0.53</v>
      </c>
      <c r="K17" s="53">
        <f t="shared" si="2"/>
        <v>0</v>
      </c>
      <c r="L17" s="9">
        <v>0.49</v>
      </c>
      <c r="M17" s="53">
        <f t="shared" si="5"/>
        <v>0</v>
      </c>
      <c r="N17" s="9">
        <v>0.46</v>
      </c>
      <c r="O17" s="53">
        <f t="shared" si="6"/>
        <v>0</v>
      </c>
      <c r="P17" s="9">
        <v>0.43</v>
      </c>
      <c r="Q17" s="53">
        <f t="shared" si="7"/>
        <v>0</v>
      </c>
      <c r="R17" s="9">
        <v>0.4</v>
      </c>
      <c r="S17" s="31"/>
      <c r="T17" s="63"/>
      <c r="U17" s="63"/>
      <c r="V17" s="63"/>
      <c r="W17" s="63"/>
      <c r="X17" s="63"/>
    </row>
    <row r="18" spans="1:24">
      <c r="A18" s="9">
        <v>20</v>
      </c>
      <c r="B18" s="9">
        <v>0.75</v>
      </c>
      <c r="C18" s="53">
        <f t="shared" si="0"/>
        <v>0</v>
      </c>
      <c r="D18" s="9">
        <v>0.67</v>
      </c>
      <c r="E18" s="53">
        <f t="shared" si="3"/>
        <v>0</v>
      </c>
      <c r="F18" s="9">
        <v>0.59</v>
      </c>
      <c r="G18" s="53">
        <f t="shared" si="4"/>
        <v>0.59</v>
      </c>
      <c r="H18" s="9">
        <v>0.53</v>
      </c>
      <c r="I18" s="53">
        <f t="shared" si="1"/>
        <v>0</v>
      </c>
      <c r="J18" s="9">
        <v>0.48</v>
      </c>
      <c r="K18" s="53">
        <f t="shared" si="2"/>
        <v>0</v>
      </c>
      <c r="L18" s="9">
        <v>0.44</v>
      </c>
      <c r="M18" s="53">
        <f t="shared" si="5"/>
        <v>0</v>
      </c>
      <c r="N18" s="9">
        <v>0.41</v>
      </c>
      <c r="O18" s="53">
        <f t="shared" si="6"/>
        <v>0</v>
      </c>
      <c r="P18" s="9">
        <v>0.39</v>
      </c>
      <c r="Q18" s="53">
        <f t="shared" si="7"/>
        <v>0</v>
      </c>
      <c r="R18" s="9">
        <v>0.36</v>
      </c>
      <c r="S18" s="31"/>
      <c r="T18" s="63"/>
      <c r="U18" s="63"/>
      <c r="V18" s="63"/>
      <c r="W18" s="63"/>
      <c r="X18" s="63"/>
    </row>
    <row r="19" hidden="1" spans="1:24">
      <c r="A19" s="64">
        <v>2</v>
      </c>
      <c r="C19" s="1">
        <f>IF(AND($D$30&gt;=$A9,$D$30&lt;$A10),C9-($D$30-$A9)/2*(C9-C10),0)</f>
        <v>0</v>
      </c>
      <c r="E19" s="1">
        <f>IF(AND($D$30&gt;=$A9,$D$30&lt;$A10),E9-($D$30-$A9)/2*(E9-E10),0)</f>
        <v>0</v>
      </c>
      <c r="G19" s="1">
        <f>IF(AND($D$30&gt;=$A9,$D$30&lt;$A10),G9-($D$30-$A9)/2*(G9-G10),0)</f>
        <v>0</v>
      </c>
      <c r="I19" s="1">
        <f>IF(AND($D$30&gt;=$A9,$D$30&lt;$A10),I9-($D$30-$A9)/2*(I9-I10),0)</f>
        <v>0</v>
      </c>
      <c r="K19" s="1">
        <f>IF(AND($D$30&gt;=$A9,$D$30&lt;$A10),K9-($D$30-$A9)/2*(K9-K10),0)</f>
        <v>0</v>
      </c>
      <c r="M19" s="1">
        <f>IF(AND($D$30&gt;=$A9,$D$30&lt;$A10),M9-($D$30-$A9)/2*(M9-M10),0)</f>
        <v>0</v>
      </c>
      <c r="O19" s="1">
        <f>IF(AND($D$30&gt;=$A9,$D$30&lt;$A10),O9-($D$30-$A9)/2*(O9-O10),0)</f>
        <v>0</v>
      </c>
      <c r="Q19" s="1">
        <f>IF(AND($D$30&gt;=$A9,$D$30&lt;$A10),Q9-($D$30-$A9)/2*(Q9-Q10),0)</f>
        <v>0</v>
      </c>
    </row>
    <row r="20" hidden="1" spans="1:24">
      <c r="A20" s="63">
        <v>4</v>
      </c>
      <c r="C20" s="1">
        <f t="shared" ref="C20:C26" si="8">IF(AND($D$30&gt;=$A10,$D$30&lt;$A11),C10-($D$30-$A10)/2*(C10-C11),0)</f>
        <v>0</v>
      </c>
      <c r="E20" s="1">
        <f t="shared" ref="E20:E26" si="9">IF(AND($D$30&gt;=$A10,$D$30&lt;$A11),E10-($D$30-$A10)/2*(E10-E11),0)</f>
        <v>0</v>
      </c>
      <c r="G20" s="1">
        <f t="shared" ref="G20:G26" si="10">IF(AND($D$30&gt;=$A10,$D$30&lt;$A11),G10-($D$30-$A10)/2*(G10-G11),0)</f>
        <v>0</v>
      </c>
      <c r="I20" s="1">
        <f t="shared" ref="I20:I26" si="11">IF(AND($D$30&gt;=$A10,$D$30&lt;$A11),I10-($D$30-$A10)/2*(I10-I11),0)</f>
        <v>0</v>
      </c>
      <c r="K20" s="1">
        <f t="shared" ref="K20:K26" si="12">IF(AND($D$30&gt;=$A10,$D$30&lt;$A11),K10-($D$30-$A10)/2*(K10-K11),0)</f>
        <v>0</v>
      </c>
      <c r="M20" s="1">
        <f t="shared" ref="M20:M26" si="13">IF(AND($D$30&gt;=$A10,$D$30&lt;$A11),M10-($D$30-$A10)/2*(M10-M11),0)</f>
        <v>0</v>
      </c>
      <c r="O20" s="1">
        <f t="shared" ref="O20:O26" si="14">IF(AND($D$30&gt;=$A10,$D$30&lt;$A11),O10-($D$30-$A10)/2*(O10-O11),0)</f>
        <v>0</v>
      </c>
      <c r="Q20" s="1">
        <f t="shared" ref="Q20:Q26" si="15">IF(AND($D$30&gt;=$A10,$D$30&lt;$A11),Q10-($D$30-$A10)/2*(Q10-Q11),0)</f>
        <v>0</v>
      </c>
    </row>
    <row r="21" hidden="1" spans="1:24">
      <c r="A21" s="63">
        <v>6</v>
      </c>
      <c r="C21" s="1">
        <f t="shared" si="8"/>
        <v>0</v>
      </c>
      <c r="E21" s="1">
        <f t="shared" si="9"/>
        <v>0</v>
      </c>
      <c r="G21" s="1">
        <f t="shared" si="10"/>
        <v>0</v>
      </c>
      <c r="I21" s="1">
        <f t="shared" si="11"/>
        <v>0</v>
      </c>
      <c r="K21" s="1">
        <f t="shared" si="12"/>
        <v>0</v>
      </c>
      <c r="M21" s="1">
        <f t="shared" si="13"/>
        <v>0</v>
      </c>
      <c r="O21" s="1">
        <f t="shared" si="14"/>
        <v>0</v>
      </c>
      <c r="Q21" s="1">
        <f t="shared" si="15"/>
        <v>0</v>
      </c>
    </row>
    <row r="22" hidden="1" spans="1:24">
      <c r="A22" s="63">
        <v>8</v>
      </c>
      <c r="C22" s="1">
        <f t="shared" si="8"/>
        <v>0</v>
      </c>
      <c r="E22" s="1">
        <f t="shared" si="9"/>
        <v>0</v>
      </c>
      <c r="G22" s="1">
        <f t="shared" si="10"/>
        <v>0</v>
      </c>
      <c r="I22" s="1">
        <f t="shared" si="11"/>
        <v>0</v>
      </c>
      <c r="K22" s="1">
        <f t="shared" si="12"/>
        <v>0</v>
      </c>
      <c r="M22" s="1">
        <f t="shared" si="13"/>
        <v>0</v>
      </c>
      <c r="O22" s="1">
        <f t="shared" si="14"/>
        <v>0</v>
      </c>
      <c r="Q22" s="1">
        <f t="shared" si="15"/>
        <v>0</v>
      </c>
    </row>
    <row r="23" hidden="1" spans="1:24">
      <c r="A23" s="63">
        <v>10</v>
      </c>
      <c r="C23" s="1">
        <f t="shared" si="8"/>
        <v>0</v>
      </c>
      <c r="E23" s="1">
        <f t="shared" si="9"/>
        <v>0</v>
      </c>
      <c r="G23" s="1">
        <f t="shared" si="10"/>
        <v>0.79</v>
      </c>
      <c r="I23" s="1">
        <f t="shared" si="11"/>
        <v>0</v>
      </c>
      <c r="K23" s="1">
        <f t="shared" si="12"/>
        <v>0</v>
      </c>
      <c r="M23" s="1">
        <f t="shared" si="13"/>
        <v>0</v>
      </c>
      <c r="O23" s="1">
        <f t="shared" si="14"/>
        <v>0</v>
      </c>
      <c r="Q23" s="1">
        <f t="shared" si="15"/>
        <v>0</v>
      </c>
    </row>
    <row r="24" hidden="1" spans="1:24">
      <c r="A24" s="63">
        <v>12</v>
      </c>
      <c r="C24" s="1">
        <f t="shared" si="8"/>
        <v>0</v>
      </c>
      <c r="E24" s="1">
        <f t="shared" si="9"/>
        <v>0</v>
      </c>
      <c r="G24" s="1">
        <f t="shared" si="10"/>
        <v>0</v>
      </c>
      <c r="I24" s="1">
        <f t="shared" si="11"/>
        <v>0</v>
      </c>
      <c r="K24" s="1">
        <f t="shared" si="12"/>
        <v>0</v>
      </c>
      <c r="M24" s="1">
        <f t="shared" si="13"/>
        <v>0</v>
      </c>
      <c r="O24" s="1">
        <f t="shared" si="14"/>
        <v>0</v>
      </c>
      <c r="Q24" s="1">
        <f t="shared" si="15"/>
        <v>0</v>
      </c>
    </row>
    <row r="25" hidden="1" spans="1:24">
      <c r="A25" s="63">
        <v>14</v>
      </c>
      <c r="C25" s="1">
        <f t="shared" si="8"/>
        <v>0</v>
      </c>
      <c r="E25" s="1">
        <f t="shared" si="9"/>
        <v>0</v>
      </c>
      <c r="G25" s="1">
        <f t="shared" si="10"/>
        <v>0</v>
      </c>
      <c r="I25" s="1">
        <f t="shared" si="11"/>
        <v>0</v>
      </c>
      <c r="K25" s="1">
        <f t="shared" si="12"/>
        <v>0</v>
      </c>
      <c r="M25" s="1">
        <f t="shared" si="13"/>
        <v>0</v>
      </c>
      <c r="O25" s="1">
        <f t="shared" si="14"/>
        <v>0</v>
      </c>
      <c r="Q25" s="1">
        <f t="shared" si="15"/>
        <v>0</v>
      </c>
    </row>
    <row r="26" hidden="1" spans="1:24">
      <c r="A26" s="63">
        <v>16</v>
      </c>
      <c r="C26" s="1">
        <f t="shared" si="8"/>
        <v>0</v>
      </c>
      <c r="E26" s="1">
        <f t="shared" si="9"/>
        <v>0</v>
      </c>
      <c r="G26" s="1">
        <f t="shared" si="10"/>
        <v>0</v>
      </c>
      <c r="I26" s="1">
        <f t="shared" si="11"/>
        <v>0</v>
      </c>
      <c r="K26" s="1">
        <f t="shared" si="12"/>
        <v>0</v>
      </c>
      <c r="M26" s="1">
        <f t="shared" si="13"/>
        <v>0</v>
      </c>
      <c r="O26" s="1">
        <f t="shared" si="14"/>
        <v>0</v>
      </c>
      <c r="Q26" s="1">
        <f t="shared" si="15"/>
        <v>0</v>
      </c>
    </row>
    <row r="27" hidden="1" spans="1:24">
      <c r="A27" s="63">
        <v>18</v>
      </c>
      <c r="C27" s="1">
        <f>IF(AND($D$30&gt;=$A17,$D$30&lt;=$A18),C17-($D$30-$A17)/2*(C17-C18),0)</f>
        <v>0</v>
      </c>
      <c r="E27" s="1">
        <f>IF(AND($D$30&gt;=$A17,$D$30&lt;=$A18),E17-($D$30-$A17)/2*(E17-E18),0)</f>
        <v>0</v>
      </c>
      <c r="G27" s="1">
        <f>IF(AND($D$30&gt;=$A17,$D$30&lt;=$A18),G17-($D$30-$A17)/2*(G17-G18),0)</f>
        <v>0</v>
      </c>
      <c r="I27" s="1">
        <f>IF(AND($D$30&gt;=$A17,$D$30&lt;=$A18),I17-($D$30-$A17)/2*(I17-I18),0)</f>
        <v>0</v>
      </c>
      <c r="K27" s="1">
        <f>IF(AND($D$30&gt;=$A17,$D$30&lt;=$A18),K17-($D$30-$A17)/2*(K17-K18),0)</f>
        <v>0</v>
      </c>
      <c r="M27" s="1">
        <f>IF(AND($D$30&gt;=$A17,$D$30&lt;=$A18),M17-($D$30-$A17)/2*(M17-M18),0)</f>
        <v>0</v>
      </c>
      <c r="O27" s="1">
        <f>IF(AND($D$30&gt;=$A17,$D$30&lt;=$A18),O17-($D$30-$A17)/2*(O17-O18),0)</f>
        <v>0</v>
      </c>
      <c r="Q27" s="1">
        <f>IF(AND($D$30&gt;=$A17,$D$30&lt;=$A18),Q17-($D$30-$A17)/2*(Q17-Q18),0)</f>
        <v>0</v>
      </c>
    </row>
    <row r="28" hidden="1" spans="1:24">
      <c r="A28" s="63">
        <v>20</v>
      </c>
    </row>
    <row r="29" hidden="1"/>
    <row r="30" ht="15.5" hidden="1" spans="1:24">
      <c r="A30" s="1" t="s">
        <v>24</v>
      </c>
      <c r="D30" s="1">
        <f>IF(D4&gt;=20,20,D4)</f>
        <v>10</v>
      </c>
    </row>
    <row r="31" ht="15.5" hidden="1" spans="1:24">
      <c r="A31" s="1" t="s">
        <v>25</v>
      </c>
      <c r="D31" s="1">
        <f>IF(D5&gt;=5,IF(D5&gt;=50,50,D5),5)</f>
        <v>15</v>
      </c>
    </row>
    <row r="32" hidden="1"/>
    <row r="33" ht="15.5" spans="1:21">
      <c r="A33" s="65"/>
      <c r="B33" s="65"/>
      <c r="C33" s="65"/>
      <c r="D33" s="65"/>
      <c r="F33" s="66"/>
      <c r="G33" s="65"/>
      <c r="H33" s="65"/>
      <c r="J33" s="8"/>
    </row>
    <row r="34" spans="1:21">
      <c r="A34" s="9" t="s">
        <v>22</v>
      </c>
      <c r="B34" s="9">
        <v>3</v>
      </c>
      <c r="C34" s="9"/>
      <c r="D34" s="9">
        <v>4</v>
      </c>
      <c r="E34" s="9"/>
      <c r="F34" s="9">
        <v>5</v>
      </c>
      <c r="G34" s="9"/>
      <c r="H34" s="9">
        <v>6</v>
      </c>
      <c r="I34" s="9"/>
      <c r="J34" s="9">
        <v>8</v>
      </c>
      <c r="K34" s="9"/>
      <c r="L34" s="9">
        <v>10</v>
      </c>
      <c r="M34" s="9"/>
      <c r="N34" s="9">
        <v>12</v>
      </c>
      <c r="O34" s="9"/>
      <c r="P34" s="9">
        <v>14</v>
      </c>
      <c r="Q34" s="9"/>
      <c r="R34" s="9">
        <v>16</v>
      </c>
    </row>
    <row r="35" ht="15.5" spans="1:21">
      <c r="A35" s="9" t="s">
        <v>26</v>
      </c>
      <c r="B35" s="9">
        <v>120</v>
      </c>
      <c r="C35" s="9"/>
      <c r="D35" s="9">
        <v>150</v>
      </c>
      <c r="E35" s="9"/>
      <c r="F35" s="9">
        <v>180</v>
      </c>
      <c r="G35" s="9"/>
      <c r="H35" s="9">
        <v>220</v>
      </c>
      <c r="I35" s="9"/>
      <c r="J35" s="9">
        <v>300</v>
      </c>
      <c r="K35" s="9"/>
      <c r="L35" s="9">
        <v>380</v>
      </c>
      <c r="M35" s="9"/>
      <c r="N35" s="9" t="s">
        <v>27</v>
      </c>
      <c r="O35" s="9"/>
      <c r="P35" s="9"/>
      <c r="Q35" s="9"/>
      <c r="R35" s="9"/>
    </row>
    <row r="36" ht="15.5" spans="1:21">
      <c r="A36" s="9" t="s">
        <v>26</v>
      </c>
      <c r="B36" s="9">
        <v>140</v>
      </c>
      <c r="C36" s="9"/>
      <c r="D36" s="9">
        <v>170</v>
      </c>
      <c r="E36" s="9"/>
      <c r="F36" s="9">
        <v>200</v>
      </c>
      <c r="G36" s="9"/>
      <c r="H36" s="9">
        <v>240</v>
      </c>
      <c r="I36" s="9"/>
      <c r="J36" s="9">
        <v>320</v>
      </c>
      <c r="K36" s="9"/>
      <c r="L36" s="9">
        <v>400</v>
      </c>
      <c r="M36" s="9"/>
      <c r="N36" s="9">
        <v>480</v>
      </c>
      <c r="O36" s="9"/>
      <c r="P36" s="9">
        <v>540</v>
      </c>
      <c r="Q36" s="9"/>
      <c r="R36" s="9">
        <v>600</v>
      </c>
    </row>
    <row r="37" hidden="1" spans="1:21">
      <c r="A37" s="63"/>
      <c r="B37" s="63"/>
      <c r="C37" s="63"/>
      <c r="D37" s="67">
        <f>IF(AND($J$6&gt;=B34,$J$6&lt;D34),B35+($J$6-B34)*(D35-B35)/(D34-B34),0)</f>
        <v>0</v>
      </c>
      <c r="E37" s="67">
        <f t="shared" ref="E37:L37" si="16">IF(AND($J$6&gt;=C34,$J$6&lt;E34),C35+($J$6-C34)*(E35-C35)/(E34-C34),0)</f>
        <v>0</v>
      </c>
      <c r="F37" s="67">
        <f t="shared" si="16"/>
        <v>0</v>
      </c>
      <c r="G37" s="67">
        <f t="shared" si="16"/>
        <v>0</v>
      </c>
      <c r="H37" s="67">
        <f t="shared" si="16"/>
        <v>0</v>
      </c>
      <c r="I37" s="67">
        <f t="shared" si="16"/>
        <v>0</v>
      </c>
      <c r="J37" s="67">
        <f t="shared" si="16"/>
        <v>0</v>
      </c>
      <c r="K37" s="67">
        <f t="shared" si="16"/>
        <v>0</v>
      </c>
      <c r="L37" s="67">
        <f t="shared" si="16"/>
        <v>0</v>
      </c>
      <c r="M37" s="63"/>
      <c r="N37" s="63"/>
      <c r="O37" s="63"/>
      <c r="P37" s="63"/>
      <c r="Q37" s="63"/>
      <c r="R37" s="63"/>
    </row>
    <row r="38" hidden="1" spans="1:21">
      <c r="C38" s="67"/>
      <c r="D38" s="67">
        <f t="shared" ref="D38:R38" si="17">IF(AND($J$6&gt;=B34,$J$6&lt;D34),B36+($J$6-B34)*(D36-B36)/(D34-B34),0)</f>
        <v>0</v>
      </c>
      <c r="E38" s="67">
        <f t="shared" si="17"/>
        <v>0</v>
      </c>
      <c r="F38" s="67">
        <f t="shared" si="17"/>
        <v>0</v>
      </c>
      <c r="G38" s="67">
        <f t="shared" si="17"/>
        <v>0</v>
      </c>
      <c r="H38" s="67">
        <f t="shared" si="17"/>
        <v>0</v>
      </c>
      <c r="I38" s="67">
        <f t="shared" si="17"/>
        <v>0</v>
      </c>
      <c r="J38" s="67">
        <f t="shared" si="17"/>
        <v>0</v>
      </c>
      <c r="K38" s="67">
        <f t="shared" si="17"/>
        <v>0</v>
      </c>
      <c r="L38" s="67">
        <f t="shared" si="17"/>
        <v>0</v>
      </c>
      <c r="M38" s="67">
        <f t="shared" si="17"/>
        <v>0</v>
      </c>
      <c r="N38" s="67">
        <f t="shared" si="17"/>
        <v>474</v>
      </c>
      <c r="O38" s="67">
        <f t="shared" si="17"/>
        <v>0</v>
      </c>
      <c r="P38" s="67">
        <f t="shared" si="17"/>
        <v>0</v>
      </c>
      <c r="Q38" s="67">
        <f t="shared" si="17"/>
        <v>0</v>
      </c>
      <c r="R38" s="67">
        <f t="shared" si="17"/>
        <v>0</v>
      </c>
      <c r="S38" s="67"/>
      <c r="U38" s="67"/>
    </row>
    <row r="39" hidden="1" spans="1:21"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U39" s="67"/>
    </row>
    <row r="40" spans="1:21">
      <c r="A40" s="9" t="s">
        <v>22</v>
      </c>
      <c r="B40" s="9">
        <v>18</v>
      </c>
      <c r="C40" s="9"/>
      <c r="D40" s="9">
        <v>20</v>
      </c>
      <c r="E40" s="9"/>
      <c r="F40" s="9">
        <v>22</v>
      </c>
      <c r="G40" s="9"/>
      <c r="H40" s="9">
        <v>24</v>
      </c>
      <c r="I40" s="9"/>
      <c r="J40" s="9">
        <v>26</v>
      </c>
      <c r="K40" s="9"/>
      <c r="L40" s="9">
        <v>28</v>
      </c>
      <c r="M40" s="9"/>
      <c r="N40" s="9">
        <v>30</v>
      </c>
      <c r="O40" s="9"/>
      <c r="P40" s="9">
        <v>35</v>
      </c>
      <c r="Q40" s="9"/>
      <c r="R40" s="9">
        <v>40</v>
      </c>
    </row>
    <row r="41" ht="15.5" spans="1:21">
      <c r="A41" s="9" t="s">
        <v>26</v>
      </c>
      <c r="B41" s="9">
        <v>660</v>
      </c>
      <c r="C41" s="9"/>
      <c r="D41" s="9">
        <v>720</v>
      </c>
      <c r="E41" s="9"/>
      <c r="F41" s="9">
        <v>780</v>
      </c>
      <c r="G41" s="9"/>
      <c r="H41" s="9">
        <v>830</v>
      </c>
      <c r="I41" s="9"/>
      <c r="J41" s="9">
        <v>870</v>
      </c>
      <c r="K41" s="9"/>
      <c r="L41" s="9">
        <v>900</v>
      </c>
      <c r="M41" s="9"/>
      <c r="N41" s="9">
        <v>930</v>
      </c>
      <c r="O41" s="9"/>
      <c r="P41" s="9">
        <v>970</v>
      </c>
      <c r="Q41" s="9"/>
      <c r="R41" s="9">
        <v>1000</v>
      </c>
    </row>
    <row r="42" hidden="1" spans="1:21">
      <c r="B42" s="67">
        <f>IF(AND($J$6&gt;=R34,$J$6&lt;B40),R36+($J$6-R34)*(B41-R36)/(B40-R34),0)</f>
        <v>0</v>
      </c>
      <c r="D42" s="67">
        <f t="shared" ref="D42:Q42" si="18">IF(AND($J$6&gt;=B40,$J$6&lt;D40),B41+($J$6-B40)*(D41-B41)/(D40-B40),0)</f>
        <v>0</v>
      </c>
      <c r="E42" s="67">
        <f t="shared" si="18"/>
        <v>0</v>
      </c>
      <c r="F42" s="67">
        <f t="shared" si="18"/>
        <v>0</v>
      </c>
      <c r="G42" s="67">
        <f t="shared" si="18"/>
        <v>0</v>
      </c>
      <c r="H42" s="67">
        <f t="shared" si="18"/>
        <v>0</v>
      </c>
      <c r="I42" s="67">
        <f t="shared" si="18"/>
        <v>0</v>
      </c>
      <c r="J42" s="67">
        <f t="shared" si="18"/>
        <v>0</v>
      </c>
      <c r="K42" s="67">
        <f t="shared" si="18"/>
        <v>0</v>
      </c>
      <c r="L42" s="67">
        <f t="shared" si="18"/>
        <v>0</v>
      </c>
      <c r="M42" s="67">
        <f t="shared" si="18"/>
        <v>0</v>
      </c>
      <c r="N42" s="67">
        <f t="shared" si="18"/>
        <v>0</v>
      </c>
      <c r="O42" s="67">
        <f t="shared" si="18"/>
        <v>0</v>
      </c>
      <c r="P42" s="67">
        <f t="shared" si="18"/>
        <v>0</v>
      </c>
      <c r="Q42" s="67">
        <f t="shared" si="18"/>
        <v>0</v>
      </c>
      <c r="R42" s="67">
        <f>IF($J$6&gt;40,R41,IF(AND($J$6&gt;=P40,$J$6&lt;=R40),P41+($J$6-P40)*(R41-P41)/(R40-P40),0))</f>
        <v>0</v>
      </c>
    </row>
  </sheetData>
  <sheetProtection password="CC3D" sheet="1" objects="1" scenarios="1"/>
  <mergeCells count="15">
    <mergeCell ref="A1:I1"/>
    <mergeCell ref="A2:D2"/>
    <mergeCell ref="E2:H2"/>
    <mergeCell ref="A4:B4"/>
    <mergeCell ref="F4:H4"/>
    <mergeCell ref="N4:P4"/>
    <mergeCell ref="A5:B5"/>
    <mergeCell ref="F5:H5"/>
    <mergeCell ref="N5:P5"/>
    <mergeCell ref="F6:H6"/>
    <mergeCell ref="N6:P6"/>
    <mergeCell ref="A30:B30"/>
    <mergeCell ref="A31:B31"/>
    <mergeCell ref="A33:D33"/>
    <mergeCell ref="F33:H33"/>
  </mergeCells>
  <pageMargins left="0.75" right="0.75" top="1" bottom="1" header="0.5" footer="0.5"/>
  <pageSetup paperSize="9" orientation="portrait" horizontalDpi="180" verticalDpi="18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view="pageBreakPreview" zoomScale="75" zoomScaleNormal="100" workbookViewId="0">
      <selection activeCell="C16" sqref="C16"/>
    </sheetView>
  </sheetViews>
  <sheetFormatPr defaultColWidth="9" defaultRowHeight="15"/>
  <cols>
    <col min="1" max="1" width="10.875" customWidth="1"/>
    <col min="2" max="2" width="17.375" customWidth="1"/>
    <col min="3" max="3" width="13.625" customWidth="1"/>
    <col min="4" max="4" width="14.625" customWidth="1"/>
    <col min="5" max="5" width="11" customWidth="1"/>
    <col min="6" max="6" width="8.75" customWidth="1"/>
    <col min="7" max="7" width="7.625" customWidth="1"/>
    <col min="8" max="8" width="14.375" customWidth="1"/>
    <col min="9" max="17" width="9.125" customWidth="1"/>
  </cols>
  <sheetData>
    <row r="1" s="1" customFormat="1" ht="25.5" customHeight="1" spans="1:17">
      <c r="A1" s="33" t="s">
        <v>28</v>
      </c>
      <c r="B1" s="33"/>
      <c r="C1" s="33"/>
      <c r="D1" s="33"/>
      <c r="E1" s="33"/>
      <c r="F1" s="33"/>
      <c r="G1" s="33"/>
    </row>
    <row r="2" s="1" customFormat="1" ht="15.5" spans="1:17">
      <c r="H2" s="1" t="s">
        <v>29</v>
      </c>
      <c r="I2" s="34" t="s">
        <v>30</v>
      </c>
    </row>
    <row r="3" s="1" customFormat="1" ht="17.5" spans="1:17">
      <c r="E3" s="1" t="s">
        <v>31</v>
      </c>
      <c r="H3" s="35" t="s">
        <v>32</v>
      </c>
      <c r="I3" s="8" t="s">
        <v>33</v>
      </c>
    </row>
    <row r="4" s="1" customFormat="1" ht="19.5" spans="1:17">
      <c r="A4" s="10" t="s">
        <v>34</v>
      </c>
      <c r="B4" s="10" t="s">
        <v>35</v>
      </c>
      <c r="C4" s="10" t="s">
        <v>36</v>
      </c>
      <c r="D4" s="9"/>
      <c r="E4" s="1" t="s">
        <v>37</v>
      </c>
      <c r="H4" s="9" t="s">
        <v>37</v>
      </c>
      <c r="J4" s="8"/>
    </row>
    <row r="5" s="2" customFormat="1" ht="26.25" customHeight="1" spans="1:17">
      <c r="A5" s="36">
        <v>0.7</v>
      </c>
      <c r="B5" s="37">
        <v>250</v>
      </c>
      <c r="C5" s="38">
        <f>B5/A5/10</f>
        <v>35.7142857142857</v>
      </c>
      <c r="D5" s="39" t="s">
        <v>38</v>
      </c>
      <c r="E5" s="40">
        <f>IF(A5*1100&lt;=6000,5.8*SQRT(1100*A5)-46,5.8*SQRT(6000)-46)</f>
        <v>114.943468335935</v>
      </c>
      <c r="F5" s="41" t="s">
        <v>39</v>
      </c>
      <c r="G5" s="42"/>
      <c r="H5" s="43">
        <f>MAX(E23:M23)</f>
        <v>0</v>
      </c>
    </row>
    <row r="6" s="2" customFormat="1" ht="26.25" customHeight="1" spans="1:17">
      <c r="A6" s="10" t="s">
        <v>40</v>
      </c>
      <c r="B6" s="44">
        <f>1.1*A5</f>
        <v>0.77</v>
      </c>
      <c r="C6" s="45"/>
      <c r="D6" s="45"/>
      <c r="E6" s="46"/>
      <c r="H6" s="45"/>
      <c r="Q6" s="1"/>
    </row>
    <row r="7" s="2" customFormat="1" ht="26.25" customHeight="1" spans="1:17">
      <c r="A7" s="47" t="s">
        <v>41</v>
      </c>
      <c r="B7" s="48" t="str">
        <f>IF(C5&gt;=C10,A10,IF(C5&gt;=C11,A11,(IF(C5&gt;=C12,A12,A13))))</f>
        <v>黏土</v>
      </c>
      <c r="C7" s="1"/>
      <c r="D7" s="49" t="s">
        <v>42</v>
      </c>
      <c r="E7" s="40">
        <f>IF(A5*1100&lt;=24000,0.89*(1100*A5)^0.63+14.4,0.89*(24000)^0.63+14.4)</f>
        <v>72.9975102276816</v>
      </c>
      <c r="F7" s="41" t="s">
        <v>43</v>
      </c>
      <c r="G7" s="42"/>
      <c r="H7" s="43">
        <f>MAX(D25:Q25)</f>
        <v>68</v>
      </c>
    </row>
    <row r="8" s="2" customFormat="1" ht="26.25" customHeight="1" spans="1:17">
      <c r="B8" s="50"/>
      <c r="C8" s="1"/>
      <c r="D8" s="45"/>
      <c r="E8" s="46"/>
      <c r="H8" s="45"/>
      <c r="Q8" s="1"/>
    </row>
    <row r="9" s="2" customFormat="1" ht="26.25" customHeight="1" spans="1:17">
      <c r="A9" s="1" t="s">
        <v>44</v>
      </c>
      <c r="B9" s="8" t="s">
        <v>45</v>
      </c>
      <c r="C9" s="1"/>
      <c r="D9" s="49" t="s">
        <v>46</v>
      </c>
      <c r="E9" s="40">
        <f>IF(B6&lt;=0.8,0.112*A5*1100+5,0)</f>
        <v>91.24</v>
      </c>
      <c r="F9" s="41" t="s">
        <v>47</v>
      </c>
      <c r="G9" s="42"/>
      <c r="H9" s="43">
        <f>MAX(C27:E27)</f>
        <v>91.5</v>
      </c>
      <c r="Q9" s="1"/>
    </row>
    <row r="10" s="2" customFormat="1" ht="26.25" customHeight="1" spans="1:17">
      <c r="A10" s="1" t="s">
        <v>48</v>
      </c>
      <c r="B10" s="8" t="s">
        <v>49</v>
      </c>
      <c r="C10" s="51">
        <f>0.5915*A5+2.8</f>
        <v>3.21405</v>
      </c>
      <c r="D10" s="45"/>
      <c r="E10" s="46"/>
      <c r="H10" s="45"/>
      <c r="Q10" s="1"/>
    </row>
    <row r="11" s="2" customFormat="1" ht="26.25" customHeight="1" spans="1:17">
      <c r="A11" s="1" t="s">
        <v>50</v>
      </c>
      <c r="B11" s="8" t="s">
        <v>51</v>
      </c>
      <c r="C11" s="51">
        <f>0.2973*A5+1.6</f>
        <v>1.80811</v>
      </c>
      <c r="D11" s="39" t="s">
        <v>52</v>
      </c>
      <c r="E11" s="40">
        <f>IF(A5*1100&lt;=6000,0.1*A5*1100,0.1*6000)</f>
        <v>77</v>
      </c>
      <c r="F11" s="41" t="s">
        <v>53</v>
      </c>
      <c r="G11" s="42"/>
      <c r="H11" s="43">
        <f>MAX(I21:M21)</f>
        <v>0</v>
      </c>
      <c r="Q11" s="1"/>
    </row>
    <row r="12" s="1" customFormat="1" ht="26.45" customHeight="1" spans="1:17">
      <c r="A12" s="1" t="s">
        <v>54</v>
      </c>
      <c r="B12" s="8" t="s">
        <v>55</v>
      </c>
      <c r="C12" s="51">
        <f>0.1013*A5+0.32</f>
        <v>0.39091</v>
      </c>
      <c r="D12" s="9"/>
      <c r="F12" s="31"/>
      <c r="H12" s="9"/>
    </row>
    <row r="13" s="1" customFormat="1" ht="21" spans="1:17">
      <c r="A13" s="1" t="s">
        <v>56</v>
      </c>
      <c r="B13" s="8" t="s">
        <v>55</v>
      </c>
      <c r="C13" s="51">
        <f>0.1013*A5+0.32</f>
        <v>0.39091</v>
      </c>
      <c r="D13" s="9" t="s">
        <v>57</v>
      </c>
      <c r="F13" s="31"/>
      <c r="H13" s="43">
        <f>MAX(D29:K29)</f>
        <v>103.5</v>
      </c>
    </row>
    <row r="14" s="1" customFormat="1" ht="21" spans="1:17">
      <c r="A14" s="9"/>
      <c r="B14" s="9"/>
      <c r="C14" s="49"/>
      <c r="D14" s="9"/>
      <c r="F14" s="31"/>
      <c r="H14" s="9"/>
    </row>
    <row r="15" s="1" customFormat="1" ht="21" spans="1:17">
      <c r="C15" s="9" t="s">
        <v>58</v>
      </c>
      <c r="D15" s="9" t="s">
        <v>59</v>
      </c>
      <c r="F15" s="31"/>
      <c r="H15" s="43">
        <f>MAX(F31:L31)</f>
        <v>0</v>
      </c>
    </row>
    <row r="16" s="1" customFormat="1" spans="1:17">
      <c r="C16" s="9"/>
      <c r="D16" s="9"/>
      <c r="F16" s="31"/>
      <c r="H16" s="9"/>
    </row>
    <row r="17" s="1" customFormat="1" ht="21" spans="1:17">
      <c r="C17" s="9"/>
      <c r="D17" s="9" t="s">
        <v>60</v>
      </c>
      <c r="F17" s="31"/>
      <c r="H17" s="43">
        <f>MAX(F33:N33)</f>
        <v>0</v>
      </c>
    </row>
    <row r="18" s="1" customFormat="1" ht="22.9" customHeight="1" spans="1:17">
      <c r="G18" s="52"/>
    </row>
    <row r="19" s="1" customFormat="1" ht="15.5" spans="1:17">
      <c r="A19" s="9"/>
      <c r="B19" s="10" t="s">
        <v>61</v>
      </c>
      <c r="C19" s="53">
        <v>0.1</v>
      </c>
      <c r="D19" s="54">
        <v>0.5</v>
      </c>
      <c r="E19" s="54">
        <v>0.8</v>
      </c>
      <c r="F19" s="54">
        <v>1</v>
      </c>
      <c r="G19" s="54">
        <v>1.5</v>
      </c>
      <c r="H19" s="54">
        <v>2</v>
      </c>
      <c r="I19" s="54">
        <v>3</v>
      </c>
      <c r="J19" s="54">
        <v>4</v>
      </c>
      <c r="K19" s="54">
        <v>5</v>
      </c>
      <c r="L19" s="54">
        <v>5.5</v>
      </c>
      <c r="M19" s="54">
        <v>6</v>
      </c>
      <c r="N19" s="54">
        <v>6.5</v>
      </c>
      <c r="O19" s="54">
        <v>10</v>
      </c>
      <c r="P19" s="54">
        <v>16</v>
      </c>
      <c r="Q19" s="54">
        <v>24</v>
      </c>
    </row>
    <row r="20" s="1" customFormat="1" ht="14.25" customHeight="1" spans="1:17">
      <c r="A20" s="10" t="s">
        <v>62</v>
      </c>
      <c r="B20" s="10"/>
      <c r="C20" s="9"/>
      <c r="D20" s="54"/>
      <c r="E20" s="54"/>
      <c r="F20" s="54"/>
      <c r="G20" s="54"/>
      <c r="H20" s="54"/>
      <c r="I20" s="9">
        <v>300</v>
      </c>
      <c r="J20" s="9">
        <v>400</v>
      </c>
      <c r="K20" s="9">
        <v>500</v>
      </c>
      <c r="L20" s="9">
        <v>550</v>
      </c>
      <c r="M20" s="9">
        <v>600</v>
      </c>
      <c r="N20" s="54"/>
      <c r="O20" s="54"/>
      <c r="P20" s="54"/>
      <c r="Q20" s="54"/>
    </row>
    <row r="21" s="1" customFormat="1" hidden="1" spans="1:17">
      <c r="A21" s="9"/>
      <c r="B21" s="53">
        <f>IF(B6&gt;M19,M19,B6)</f>
        <v>0.77</v>
      </c>
      <c r="C21" s="9"/>
      <c r="D21" s="54"/>
      <c r="E21" s="54"/>
      <c r="F21" s="54"/>
      <c r="G21" s="54"/>
      <c r="H21" s="54"/>
      <c r="I21" s="9"/>
      <c r="J21" s="9">
        <f>IF(AND($B$21&gt;=I19,$B$21&lt;J19),I20-($B$21-I19)*(I20-J20)/(J19-I19),0)</f>
        <v>0</v>
      </c>
      <c r="K21" s="9">
        <f>IF(AND($B$21&gt;=J19,$B$21&lt;K19),J20-($B$21-J19)*(J20-K20)/(K19-J19),0)</f>
        <v>0</v>
      </c>
      <c r="L21" s="9">
        <f>IF(AND($B$21&gt;=K19,$B$21&lt;L19),K20-($B$21-K19)*(K20-L20)/(L19-K19),0)</f>
        <v>0</v>
      </c>
      <c r="M21" s="9">
        <f>IF(AND($B$21&gt;=L19,$B$21&lt;=M19),L20-($B$21-L19)*(L20-M20)/(M19-L19),0)</f>
        <v>0</v>
      </c>
      <c r="N21" s="54"/>
      <c r="O21" s="54"/>
      <c r="P21" s="54"/>
      <c r="Q21" s="54"/>
    </row>
    <row r="22" s="1" customFormat="1" ht="14.25" customHeight="1" spans="1:17">
      <c r="A22" s="10" t="s">
        <v>63</v>
      </c>
      <c r="B22" s="10"/>
      <c r="C22" s="9"/>
      <c r="D22" s="9"/>
      <c r="E22" s="9">
        <v>115</v>
      </c>
      <c r="F22" s="9">
        <v>135</v>
      </c>
      <c r="G22" s="9">
        <v>180</v>
      </c>
      <c r="H22" s="9">
        <v>210</v>
      </c>
      <c r="I22" s="9">
        <v>270</v>
      </c>
      <c r="J22" s="9">
        <v>320</v>
      </c>
      <c r="K22" s="9">
        <v>360</v>
      </c>
      <c r="L22" s="9">
        <v>370</v>
      </c>
      <c r="M22" s="9">
        <v>380</v>
      </c>
      <c r="N22" s="9"/>
      <c r="O22" s="9"/>
      <c r="P22" s="9"/>
      <c r="Q22" s="9"/>
    </row>
    <row r="23" s="1" customFormat="1" hidden="1" spans="1:17">
      <c r="A23" s="9"/>
      <c r="B23" s="53">
        <f>IF(B6&gt;M19,M19,B6)</f>
        <v>0.77</v>
      </c>
      <c r="C23" s="9"/>
      <c r="D23" s="9"/>
      <c r="E23" s="9"/>
      <c r="F23" s="9">
        <f>IF(AND($B$23&gt;=E19,$B$23&lt;F19),E22-($B$23-E19)*(E22-F22)/(F19-E19),0)</f>
        <v>0</v>
      </c>
      <c r="G23" s="9">
        <f t="shared" ref="G23:L23" si="0">IF(AND($B$23&gt;=F19,$B$23&lt;G19),F22-($B$23-F19)*(F22-G22)/(G19-F19),0)</f>
        <v>0</v>
      </c>
      <c r="H23" s="9">
        <f t="shared" si="0"/>
        <v>0</v>
      </c>
      <c r="I23" s="9">
        <f t="shared" si="0"/>
        <v>0</v>
      </c>
      <c r="J23" s="9">
        <f t="shared" si="0"/>
        <v>0</v>
      </c>
      <c r="K23" s="9">
        <f t="shared" si="0"/>
        <v>0</v>
      </c>
      <c r="L23" s="9">
        <f t="shared" si="0"/>
        <v>0</v>
      </c>
      <c r="M23" s="9">
        <f>IF(AND($B$23&gt;=L19,$B$23&lt;=M19),L22-($B$23-L19)*(L22-M22)/(M19-L19),0)</f>
        <v>0</v>
      </c>
      <c r="N23" s="9"/>
      <c r="O23" s="9"/>
      <c r="P23" s="9"/>
      <c r="Q23" s="9"/>
    </row>
    <row r="24" s="1" customFormat="1" spans="1:17">
      <c r="A24" s="9" t="s">
        <v>42</v>
      </c>
      <c r="B24" s="9"/>
      <c r="C24" s="9"/>
      <c r="D24" s="9">
        <v>50</v>
      </c>
      <c r="E24" s="9">
        <v>70</v>
      </c>
      <c r="F24" s="9">
        <v>80</v>
      </c>
      <c r="G24" s="9">
        <v>100</v>
      </c>
      <c r="H24" s="9">
        <v>120</v>
      </c>
      <c r="I24" s="9">
        <v>150</v>
      </c>
      <c r="J24" s="9">
        <v>180</v>
      </c>
      <c r="K24" s="9">
        <v>200</v>
      </c>
      <c r="L24" s="9">
        <v>210</v>
      </c>
      <c r="M24" s="9">
        <v>220</v>
      </c>
      <c r="N24" s="9">
        <v>230</v>
      </c>
      <c r="O24" s="9">
        <v>300</v>
      </c>
      <c r="P24" s="9">
        <v>410</v>
      </c>
      <c r="Q24" s="9">
        <v>520</v>
      </c>
    </row>
    <row r="25" s="1" customFormat="1" hidden="1" spans="1:17">
      <c r="A25" s="9"/>
      <c r="B25" s="53">
        <f>IF(B6&gt;Q19,Q19,B6)</f>
        <v>0.77</v>
      </c>
      <c r="C25" s="9"/>
      <c r="D25" s="9"/>
      <c r="E25" s="9">
        <f>IF(AND($B$25&gt;=D19,$B$25&lt;E19),D24-($B$25-D19)*(D24-E24)/(E19-D19),0)</f>
        <v>68</v>
      </c>
      <c r="F25" s="9">
        <f t="shared" ref="F25:P25" si="1">IF(AND($B$25&gt;=E19,$B$25&lt;F19),E24-($B$25-E19)*(E24-F24)/(F19-E19),0)</f>
        <v>0</v>
      </c>
      <c r="G25" s="9">
        <f t="shared" si="1"/>
        <v>0</v>
      </c>
      <c r="H25" s="9">
        <f t="shared" si="1"/>
        <v>0</v>
      </c>
      <c r="I25" s="9">
        <f t="shared" si="1"/>
        <v>0</v>
      </c>
      <c r="J25" s="9">
        <f t="shared" si="1"/>
        <v>0</v>
      </c>
      <c r="K25" s="9">
        <f t="shared" si="1"/>
        <v>0</v>
      </c>
      <c r="L25" s="9">
        <f t="shared" si="1"/>
        <v>0</v>
      </c>
      <c r="M25" s="9">
        <f t="shared" si="1"/>
        <v>0</v>
      </c>
      <c r="N25" s="9">
        <f t="shared" si="1"/>
        <v>0</v>
      </c>
      <c r="O25" s="9">
        <f t="shared" si="1"/>
        <v>0</v>
      </c>
      <c r="P25" s="9">
        <f t="shared" si="1"/>
        <v>0</v>
      </c>
      <c r="Q25" s="9">
        <f>IF(AND($B$25&gt;=P19,$B$25&lt;=Q19),P24-($B$25-P19)*(P24-Q24)/(Q19-P19),0)</f>
        <v>0</v>
      </c>
    </row>
    <row r="26" s="1" customFormat="1" spans="1:17">
      <c r="A26" s="9" t="s">
        <v>46</v>
      </c>
      <c r="B26" s="9"/>
      <c r="C26" s="9">
        <v>20</v>
      </c>
      <c r="D26" s="9">
        <v>60</v>
      </c>
      <c r="E26" s="9">
        <v>95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="1" customFormat="1" hidden="1" spans="1:17">
      <c r="A27" s="9"/>
      <c r="B27" s="53">
        <f>IF(B6&gt;E19,0,B6)</f>
        <v>0.77</v>
      </c>
      <c r="C27" s="9"/>
      <c r="D27" s="9">
        <f>IF(AND($B$27&gt;=C$19,$B$27&lt;D$19),C26-($B$27-C$19)*(C26-D26)/(D$19-C$19),0)</f>
        <v>0</v>
      </c>
      <c r="E27" s="9">
        <f>IF(AND($B$27&gt;=D$19,$B$27&lt;=E$19),D26-($B$27-D$19)*(D26-E26)/(E$19-D$19),0)</f>
        <v>91.5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="1" customFormat="1" spans="1:17">
      <c r="A28" s="9" t="s">
        <v>58</v>
      </c>
      <c r="B28" s="9" t="s">
        <v>57</v>
      </c>
      <c r="C28" s="9"/>
      <c r="D28" s="9">
        <v>90</v>
      </c>
      <c r="E28" s="9">
        <v>105</v>
      </c>
      <c r="F28" s="9">
        <v>115</v>
      </c>
      <c r="G28" s="9">
        <v>140</v>
      </c>
      <c r="H28" s="9">
        <v>165</v>
      </c>
      <c r="I28" s="9">
        <v>215</v>
      </c>
      <c r="J28" s="9">
        <v>265</v>
      </c>
      <c r="K28" s="9">
        <v>315</v>
      </c>
      <c r="L28" s="9"/>
      <c r="M28" s="9"/>
      <c r="N28" s="9"/>
      <c r="O28" s="9"/>
      <c r="P28" s="9"/>
      <c r="Q28" s="9"/>
    </row>
    <row r="29" s="1" customFormat="1" ht="14.25" hidden="1" customHeight="1" spans="1:17">
      <c r="A29" s="9"/>
      <c r="B29" s="53">
        <f>IF(B6&gt;K19,K19,B6)</f>
        <v>0.77</v>
      </c>
      <c r="C29" s="9"/>
      <c r="D29" s="9"/>
      <c r="E29" s="9">
        <f t="shared" ref="E29:J29" si="2">IF(AND($B$29&gt;=D$19,$B$29&lt;E$19),D28-($B$29-D$19)*(D28-E28)/(E$19-D$19),0)</f>
        <v>103.5</v>
      </c>
      <c r="F29" s="9">
        <f t="shared" si="2"/>
        <v>0</v>
      </c>
      <c r="G29" s="9">
        <f t="shared" si="2"/>
        <v>0</v>
      </c>
      <c r="H29" s="9">
        <f t="shared" si="2"/>
        <v>0</v>
      </c>
      <c r="I29" s="9">
        <f t="shared" si="2"/>
        <v>0</v>
      </c>
      <c r="J29" s="9">
        <f t="shared" si="2"/>
        <v>0</v>
      </c>
      <c r="K29" s="9">
        <f>IF(AND($B$29&gt;=J$19,$B$29&lt;=K$19),J28-($B$29-J$19)*(J28-K28)/(K$19-J$19),0)</f>
        <v>0</v>
      </c>
      <c r="L29" s="9"/>
      <c r="M29" s="9"/>
      <c r="N29" s="9"/>
      <c r="O29" s="9"/>
      <c r="P29" s="9"/>
      <c r="Q29" s="9"/>
    </row>
    <row r="30" s="1" customFormat="1" spans="1:17">
      <c r="A30" s="9"/>
      <c r="B30" s="9" t="s">
        <v>59</v>
      </c>
      <c r="C30" s="9"/>
      <c r="D30" s="9"/>
      <c r="E30" s="9"/>
      <c r="F30" s="9">
        <v>85</v>
      </c>
      <c r="G30" s="9">
        <v>110</v>
      </c>
      <c r="H30" s="9">
        <v>135</v>
      </c>
      <c r="I30" s="9">
        <v>185</v>
      </c>
      <c r="J30" s="9">
        <v>235</v>
      </c>
      <c r="K30" s="9">
        <v>285</v>
      </c>
      <c r="L30" s="9">
        <v>310</v>
      </c>
      <c r="M30" s="9"/>
      <c r="N30" s="9"/>
      <c r="O30" s="9"/>
      <c r="P30" s="9"/>
      <c r="Q30" s="9"/>
    </row>
    <row r="31" s="1" customFormat="1" ht="14.25" hidden="1" customHeight="1" spans="1:17">
      <c r="A31" s="9"/>
      <c r="B31" s="53">
        <f>IF(B6&gt;L19,L19,B6)</f>
        <v>0.77</v>
      </c>
      <c r="C31" s="9"/>
      <c r="D31" s="9"/>
      <c r="E31" s="9"/>
      <c r="F31" s="9"/>
      <c r="G31" s="9">
        <f>IF(AND($B$31&gt;=F$19,$B$31&lt;G$19),F30-($B$31-F$19)*(F30-G30)/(G$19-F$19),0)</f>
        <v>0</v>
      </c>
      <c r="H31" s="9">
        <f>IF(AND($B$31&gt;=G$19,$B$31&lt;H$19),G30-($B$31-G$19)*(G30-H30)/(H$19-G$19),0)</f>
        <v>0</v>
      </c>
      <c r="I31" s="9">
        <f>IF(AND($B$31&gt;=H$19,$B$31&lt;I$19),H30-($B$31-H$19)*(H30-I30)/(I$19-H$19),0)</f>
        <v>0</v>
      </c>
      <c r="J31" s="9">
        <f>IF(AND($B$31&gt;=I$19,$B$31&lt;J$19),I30-($B$31-I$19)*(I30-J30)/(J$19-I$19),0)</f>
        <v>0</v>
      </c>
      <c r="K31" s="9">
        <f>IF(AND($B$31&gt;=J$19,$B$31&lt;K$19),J30-($B$31-J$19)*(J30-K30)/(K$19-J$19),0)</f>
        <v>0</v>
      </c>
      <c r="L31" s="9">
        <f>IF(AND($B$31&gt;=K$19,$B$31&lt;=L$19),K30-($B$31-K$19)*(K30-L30)/(L$19-K$19),0)</f>
        <v>0</v>
      </c>
      <c r="M31" s="9"/>
      <c r="N31" s="9"/>
      <c r="O31" s="9"/>
      <c r="P31" s="9"/>
      <c r="Q31" s="9"/>
    </row>
    <row r="32" s="1" customFormat="1" spans="1:17">
      <c r="A32" s="9"/>
      <c r="B32" s="9" t="s">
        <v>60</v>
      </c>
      <c r="C32" s="9"/>
      <c r="D32" s="9"/>
      <c r="E32" s="9"/>
      <c r="F32" s="9">
        <v>80</v>
      </c>
      <c r="G32" s="9">
        <v>100</v>
      </c>
      <c r="H32" s="9">
        <v>120</v>
      </c>
      <c r="I32" s="9">
        <v>160</v>
      </c>
      <c r="J32" s="9">
        <v>200</v>
      </c>
      <c r="K32" s="9">
        <v>240</v>
      </c>
      <c r="L32" s="9">
        <v>260</v>
      </c>
      <c r="M32" s="9">
        <v>280</v>
      </c>
      <c r="N32" s="9">
        <v>300</v>
      </c>
      <c r="O32" s="9"/>
      <c r="P32" s="9"/>
      <c r="Q32" s="9"/>
    </row>
    <row r="33" s="1" customFormat="1" hidden="1" spans="2:14">
      <c r="B33" s="51">
        <f>IF(B6&gt;N19,N19,B6)</f>
        <v>0.77</v>
      </c>
      <c r="G33" s="1">
        <f>IF(AND($B$33&gt;=F$19,$B$33&lt;G$19),F32-($B$33-F$19)*(F32-G32)/(G$19-F$19),0)</f>
        <v>0</v>
      </c>
      <c r="H33" s="1">
        <f t="shared" ref="H33:M33" si="3">IF(AND($B$33&gt;=G$19,$B$33&lt;H$19),G32-($B$33-G$19)*(G32-H32)/(H$19-G$19),0)</f>
        <v>0</v>
      </c>
      <c r="I33" s="1">
        <f t="shared" si="3"/>
        <v>0</v>
      </c>
      <c r="J33" s="1">
        <f t="shared" si="3"/>
        <v>0</v>
      </c>
      <c r="K33" s="1">
        <f t="shared" si="3"/>
        <v>0</v>
      </c>
      <c r="L33" s="1">
        <f t="shared" si="3"/>
        <v>0</v>
      </c>
      <c r="M33" s="1">
        <f t="shared" si="3"/>
        <v>0</v>
      </c>
      <c r="N33" s="1">
        <f>IF(AND($B$33&gt;=M$19,$B$33&lt;=N$19),M32-($B$33-M$19)*(M32-N32)/(N$19-M$19),0)</f>
        <v>0</v>
      </c>
    </row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</sheetData>
  <sheetProtection password="CC3D" sheet="1" objects="1" scenarios="1"/>
  <mergeCells count="12">
    <mergeCell ref="A1:G1"/>
    <mergeCell ref="F5:G5"/>
    <mergeCell ref="F7:G7"/>
    <mergeCell ref="F9:G9"/>
    <mergeCell ref="F11:G11"/>
    <mergeCell ref="A20:B20"/>
    <mergeCell ref="A22:B22"/>
    <mergeCell ref="A24:B24"/>
    <mergeCell ref="A26:B26"/>
    <mergeCell ref="A7:A8"/>
    <mergeCell ref="A28:A32"/>
    <mergeCell ref="B7:B8"/>
  </mergeCells>
  <pageMargins left="0.75" right="0.75" top="1" bottom="1" header="0.5" footer="0.5"/>
  <pageSetup paperSize="9" scale="77" orientation="landscape" verticalDpi="18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tabSelected="1" view="pageBreakPreview" zoomScaleNormal="100" workbookViewId="0">
      <pane xSplit="4" ySplit="8" topLeftCell="E9" activePane="bottomRight" state="frozen"/>
      <selection/>
      <selection pane="topRight"/>
      <selection pane="bottomLeft"/>
      <selection pane="bottomRight" activeCell="N31" sqref="N31"/>
    </sheetView>
  </sheetViews>
  <sheetFormatPr defaultColWidth="8.75" defaultRowHeight="15"/>
  <cols>
    <col min="1" max="2" width="8.75" style="1" customWidth="1"/>
    <col min="3" max="3" width="8.75" style="1" hidden="1" customWidth="1"/>
    <col min="4" max="4" width="8.75" style="1" customWidth="1"/>
    <col min="5" max="5" width="8.75" style="1" hidden="1" customWidth="1"/>
    <col min="6" max="6" width="8.75" style="1" customWidth="1"/>
    <col min="7" max="7" width="8.75" style="1" hidden="1" customWidth="1"/>
    <col min="8" max="8" width="8.75" style="1" customWidth="1"/>
    <col min="9" max="9" width="8.75" style="1" hidden="1" customWidth="1"/>
    <col min="10" max="10" width="8.75" style="1" customWidth="1"/>
    <col min="11" max="11" width="8.75" style="1" hidden="1" customWidth="1"/>
    <col min="12" max="12" width="8.75" style="1" customWidth="1"/>
    <col min="13" max="13" width="8.75" style="1" hidden="1" customWidth="1"/>
    <col min="14" max="14" width="8.75" style="1" customWidth="1"/>
    <col min="15" max="15" width="9" style="1" hidden="1" customWidth="1"/>
    <col min="16" max="16" width="8.75" style="1" customWidth="1"/>
    <col min="17" max="17" width="9" style="1" hidden="1" customWidth="1"/>
    <col min="18" max="18" width="8.75" style="1" customWidth="1"/>
    <col min="19" max="19" width="9" style="1" hidden="1" customWidth="1"/>
    <col min="20" max="20" width="8.75" style="1" customWidth="1"/>
    <col min="21" max="21" width="9" style="1" hidden="1" customWidth="1"/>
    <col min="22" max="22" width="8.75" style="1" customWidth="1"/>
    <col min="23" max="23" width="9" style="1" hidden="1" customWidth="1"/>
    <col min="24" max="24" width="8.75" style="1" customWidth="1"/>
    <col min="25" max="25" width="9" style="1" hidden="1" customWidth="1"/>
    <col min="26" max="26" width="8.75" style="1" customWidth="1"/>
    <col min="27" max="16384" width="8.75" style="1"/>
  </cols>
  <sheetData>
    <row r="1" ht="28.9" customHeight="1" spans="1:27">
      <c r="A1" s="2" t="s">
        <v>64</v>
      </c>
      <c r="B1" s="2"/>
      <c r="C1" s="2"/>
      <c r="D1" s="2"/>
      <c r="E1" s="2"/>
      <c r="F1" s="2"/>
      <c r="G1" s="2"/>
      <c r="H1" s="2"/>
      <c r="I1" s="2"/>
    </row>
    <row r="2" spans="1:27">
      <c r="A2" s="11" t="s">
        <v>1</v>
      </c>
      <c r="B2" s="11"/>
      <c r="C2" s="11"/>
      <c r="D2" s="11"/>
      <c r="E2" s="12" t="s">
        <v>65</v>
      </c>
      <c r="F2" s="12"/>
      <c r="G2" s="12"/>
      <c r="H2" s="12"/>
      <c r="J2" s="12" t="s">
        <v>66</v>
      </c>
    </row>
    <row r="4" ht="25" spans="1:27">
      <c r="A4" s="2" t="s">
        <v>67</v>
      </c>
      <c r="B4" s="13"/>
      <c r="C4" s="2"/>
      <c r="D4" s="29">
        <v>0.848</v>
      </c>
      <c r="E4" s="2"/>
      <c r="F4" s="2" t="s">
        <v>68</v>
      </c>
      <c r="G4" s="2"/>
      <c r="H4" s="15">
        <f>MAX(C16:Y21)</f>
        <v>207.76</v>
      </c>
      <c r="I4" s="2"/>
      <c r="J4" s="13" t="s">
        <v>19</v>
      </c>
    </row>
    <row r="5" ht="25" spans="1:27">
      <c r="A5" s="2" t="s">
        <v>69</v>
      </c>
      <c r="B5" s="13"/>
      <c r="C5" s="2"/>
      <c r="D5" s="6">
        <v>0.62</v>
      </c>
      <c r="E5" s="2"/>
      <c r="F5" s="2"/>
      <c r="G5" s="2"/>
      <c r="H5" s="2"/>
      <c r="I5" s="2"/>
      <c r="J5" s="2"/>
    </row>
    <row r="7" ht="19.5" spans="1:27">
      <c r="B7" s="8" t="s">
        <v>70</v>
      </c>
      <c r="C7" s="8"/>
    </row>
    <row r="8" ht="15.5" spans="1:27">
      <c r="A8" s="10" t="s">
        <v>71</v>
      </c>
      <c r="B8" s="9">
        <v>0</v>
      </c>
      <c r="C8" s="9"/>
      <c r="D8" s="9">
        <v>0.1</v>
      </c>
      <c r="E8" s="9"/>
      <c r="F8" s="9">
        <v>0.2</v>
      </c>
      <c r="G8" s="9"/>
      <c r="H8" s="9">
        <v>0.3</v>
      </c>
      <c r="I8" s="9"/>
      <c r="J8" s="9">
        <v>0.4</v>
      </c>
      <c r="K8" s="9"/>
      <c r="L8" s="9">
        <v>0.5</v>
      </c>
      <c r="M8" s="9"/>
      <c r="N8" s="9">
        <v>0.6</v>
      </c>
      <c r="O8" s="9"/>
      <c r="P8" s="9">
        <v>0.7</v>
      </c>
      <c r="Q8" s="9"/>
      <c r="R8" s="9">
        <v>0.8</v>
      </c>
      <c r="S8" s="9"/>
      <c r="T8" s="9">
        <v>0.9</v>
      </c>
      <c r="U8" s="9"/>
      <c r="V8" s="9">
        <v>1</v>
      </c>
      <c r="W8" s="9"/>
      <c r="X8" s="9">
        <v>1.1</v>
      </c>
      <c r="Y8" s="9"/>
      <c r="Z8" s="9">
        <v>1.2</v>
      </c>
      <c r="AA8" s="31"/>
    </row>
    <row r="9" spans="1:27">
      <c r="A9" s="9">
        <v>0.5</v>
      </c>
      <c r="B9" s="9">
        <v>450</v>
      </c>
      <c r="C9" s="9">
        <f t="shared" ref="C9:C14" si="0">IF(AND($B$23&gt;=B$8,$B$23&lt;=D$8),B9-($B$23-B$8)*(B9-D9)/0.1,0)</f>
        <v>0</v>
      </c>
      <c r="D9" s="9">
        <v>440</v>
      </c>
      <c r="E9" s="9">
        <f t="shared" ref="E9:E14" si="1">IF(AND($B$23&gt;D$8,$B$23&lt;=F$8),D9-($B$23-D$8)*(D9-F9)/0.1,0)</f>
        <v>0</v>
      </c>
      <c r="F9" s="9">
        <v>430</v>
      </c>
      <c r="G9" s="9">
        <f>IF(AND($B$23&gt;F$8,$B$23&lt;=H$8),F9-($B$23-F$8)*(F9-H9)/0.1,0)</f>
        <v>0</v>
      </c>
      <c r="H9" s="9">
        <v>420</v>
      </c>
      <c r="I9" s="9">
        <f>IF(AND($B$23&gt;H$8,$B$23&lt;=J$8),H9-($B$23-H$8)*(H9-J9)/0.1,0)</f>
        <v>0</v>
      </c>
      <c r="J9" s="9">
        <v>400</v>
      </c>
      <c r="K9" s="9">
        <f>IF(AND($B$23&gt;J$8,$B$23&lt;=L$8),J9-($B$23-J$8)*(J9-L9)/0.1,0)</f>
        <v>0</v>
      </c>
      <c r="L9" s="9">
        <v>380</v>
      </c>
      <c r="M9" s="9">
        <f>IF(AND($B$23&gt;L$8,$B$23&lt;=N$8),L9-($B$23-L$8)*(L9-N9)/0.1,0)</f>
        <v>0</v>
      </c>
      <c r="N9" s="9">
        <v>350</v>
      </c>
      <c r="O9" s="9">
        <f>IF(AND($B$23&gt;N$8,$B$23&lt;=P$8),N9-($B$23-N$8)*(N9-P9)/0.1,0)</f>
        <v>342</v>
      </c>
      <c r="P9" s="9">
        <v>310</v>
      </c>
      <c r="Q9" s="9">
        <f>IF(AND($B$23&gt;P$8,$B$23&lt;=R$8),P9-($B$23-P$8)*(P9-R9)/0.1,0)</f>
        <v>0</v>
      </c>
      <c r="R9" s="9">
        <v>270</v>
      </c>
      <c r="S9" s="9">
        <f>IF(AND($B$23&gt;R$8,$B$23&lt;=T$8),R9-($B$23-R$8)*(R9-T9)/0.1,0)</f>
        <v>0</v>
      </c>
      <c r="T9" s="9">
        <v>240</v>
      </c>
      <c r="U9" s="9">
        <f t="shared" ref="U9:U14" si="2">IF(AND($B$23&gt;T$8,$B$23&lt;=V$8),T9-($B$23-T$8)*(T9-V9)/0.1,0)</f>
        <v>0</v>
      </c>
      <c r="V9" s="9">
        <v>220</v>
      </c>
      <c r="W9" s="9"/>
      <c r="X9" s="9"/>
      <c r="Y9" s="9"/>
      <c r="Z9" s="9"/>
    </row>
    <row r="10" spans="1:27">
      <c r="A10" s="9">
        <v>0.6</v>
      </c>
      <c r="B10" s="9">
        <v>420</v>
      </c>
      <c r="C10" s="9">
        <f t="shared" si="0"/>
        <v>0</v>
      </c>
      <c r="D10" s="9">
        <v>410</v>
      </c>
      <c r="E10" s="9">
        <f t="shared" si="1"/>
        <v>0</v>
      </c>
      <c r="F10" s="9">
        <v>400</v>
      </c>
      <c r="G10" s="9">
        <f t="shared" ref="G10:G15" si="3">IF(AND($B$23&gt;F$8,$B$23&lt;=H$8),F10-($B$23-F$8)*(F10-H10)/0.1,0)</f>
        <v>0</v>
      </c>
      <c r="H10" s="9">
        <v>380</v>
      </c>
      <c r="I10" s="9">
        <f t="shared" ref="I10:I15" si="4">IF(AND($B$23&gt;H$8,$B$23&lt;=J$8),H10-($B$23-H$8)*(H10-J10)/0.1,0)</f>
        <v>0</v>
      </c>
      <c r="J10" s="9">
        <v>360</v>
      </c>
      <c r="K10" s="9">
        <f t="shared" ref="K10:K15" si="5">IF(AND($B$23&gt;J$8,$B$23&lt;=L$8),J10-($B$23-J$8)*(J10-L10)/0.1,0)</f>
        <v>0</v>
      </c>
      <c r="L10" s="9">
        <v>340</v>
      </c>
      <c r="M10" s="9">
        <f t="shared" ref="M10:M15" si="6">IF(AND($B$23&gt;L$8,$B$23&lt;=N$8),L10-($B$23-L$8)*(L10-N10)/0.1,0)</f>
        <v>0</v>
      </c>
      <c r="N10" s="9">
        <v>310</v>
      </c>
      <c r="O10" s="9">
        <f t="shared" ref="O10:O15" si="7">IF(AND($B$23&gt;N$8,$B$23&lt;=P$8),N10-($B$23-N$8)*(N10-P10)/0.1,0)</f>
        <v>304</v>
      </c>
      <c r="P10" s="9">
        <v>280</v>
      </c>
      <c r="Q10" s="9">
        <f t="shared" ref="Q10:Q15" si="8">IF(AND($B$23&gt;P$8,$B$23&lt;=R$8),P10-($B$23-P$8)*(P10-R10)/0.1,0)</f>
        <v>0</v>
      </c>
      <c r="R10" s="9">
        <v>250</v>
      </c>
      <c r="S10" s="9">
        <f t="shared" ref="S10:S15" si="9">IF(AND($B$23&gt;R$8,$B$23&lt;=T$8),R10-($B$23-R$8)*(R10-T10)/0.1,0)</f>
        <v>0</v>
      </c>
      <c r="T10" s="9">
        <v>220</v>
      </c>
      <c r="U10" s="9">
        <f t="shared" si="2"/>
        <v>0</v>
      </c>
      <c r="V10" s="9">
        <v>200</v>
      </c>
      <c r="W10" s="9">
        <f>IF(AND($B$23&gt;V$8,$B$23&lt;=X$8),V10-($B$23-V$8)*(V10-X10)/0.1,0)</f>
        <v>0</v>
      </c>
      <c r="X10" s="9">
        <v>180</v>
      </c>
      <c r="Y10" s="9"/>
      <c r="Z10" s="9"/>
    </row>
    <row r="11" spans="1:27">
      <c r="A11" s="9">
        <v>0.7</v>
      </c>
      <c r="B11" s="9">
        <v>400</v>
      </c>
      <c r="C11" s="9">
        <f t="shared" si="0"/>
        <v>0</v>
      </c>
      <c r="D11" s="9">
        <v>370</v>
      </c>
      <c r="E11" s="9">
        <f t="shared" si="1"/>
        <v>0</v>
      </c>
      <c r="F11" s="9">
        <v>350</v>
      </c>
      <c r="G11" s="9">
        <f t="shared" si="3"/>
        <v>0</v>
      </c>
      <c r="H11" s="9">
        <v>330</v>
      </c>
      <c r="I11" s="9">
        <f t="shared" si="4"/>
        <v>0</v>
      </c>
      <c r="J11" s="9">
        <v>310</v>
      </c>
      <c r="K11" s="9">
        <f t="shared" si="5"/>
        <v>0</v>
      </c>
      <c r="L11" s="9">
        <v>290</v>
      </c>
      <c r="M11" s="9">
        <f t="shared" si="6"/>
        <v>0</v>
      </c>
      <c r="N11" s="9">
        <v>270</v>
      </c>
      <c r="O11" s="9">
        <f t="shared" si="7"/>
        <v>264</v>
      </c>
      <c r="P11" s="9">
        <v>240</v>
      </c>
      <c r="Q11" s="9">
        <f t="shared" si="8"/>
        <v>0</v>
      </c>
      <c r="R11" s="9">
        <v>220</v>
      </c>
      <c r="S11" s="9">
        <f t="shared" si="9"/>
        <v>0</v>
      </c>
      <c r="T11" s="9">
        <v>190</v>
      </c>
      <c r="U11" s="9">
        <f t="shared" si="2"/>
        <v>0</v>
      </c>
      <c r="V11" s="9">
        <v>170</v>
      </c>
      <c r="W11" s="9">
        <f>IF(AND($B$23&gt;V$8,$B$23&lt;=X$8),V11-($B$23-V$8)*(V11-X11)/0.1,0)</f>
        <v>0</v>
      </c>
      <c r="X11" s="9">
        <v>160</v>
      </c>
      <c r="Y11" s="9">
        <f>IF(AND($B$23&gt;X$8,$B$23&lt;=Z$8),X11-($B$23-X$8)*(X11-Z11)/0.1,0)</f>
        <v>0</v>
      </c>
      <c r="Z11" s="9">
        <v>150</v>
      </c>
    </row>
    <row r="12" spans="1:27">
      <c r="A12" s="9">
        <v>0.8</v>
      </c>
      <c r="B12" s="9">
        <v>380</v>
      </c>
      <c r="C12" s="9">
        <f t="shared" si="0"/>
        <v>0</v>
      </c>
      <c r="D12" s="9">
        <v>330</v>
      </c>
      <c r="E12" s="9">
        <f t="shared" si="1"/>
        <v>0</v>
      </c>
      <c r="F12" s="9">
        <v>300</v>
      </c>
      <c r="G12" s="9">
        <f t="shared" si="3"/>
        <v>0</v>
      </c>
      <c r="H12" s="9">
        <v>280</v>
      </c>
      <c r="I12" s="9">
        <f t="shared" si="4"/>
        <v>0</v>
      </c>
      <c r="J12" s="9">
        <v>260</v>
      </c>
      <c r="K12" s="9">
        <f t="shared" si="5"/>
        <v>0</v>
      </c>
      <c r="L12" s="9">
        <v>240</v>
      </c>
      <c r="M12" s="9">
        <f t="shared" si="6"/>
        <v>0</v>
      </c>
      <c r="N12" s="9">
        <v>230</v>
      </c>
      <c r="O12" s="9">
        <f t="shared" si="7"/>
        <v>226</v>
      </c>
      <c r="P12" s="9">
        <v>210</v>
      </c>
      <c r="Q12" s="9">
        <f t="shared" si="8"/>
        <v>0</v>
      </c>
      <c r="R12" s="9">
        <v>180</v>
      </c>
      <c r="S12" s="9">
        <f t="shared" si="9"/>
        <v>0</v>
      </c>
      <c r="T12" s="9">
        <v>160</v>
      </c>
      <c r="U12" s="9">
        <f t="shared" si="2"/>
        <v>0</v>
      </c>
      <c r="V12" s="9">
        <v>150</v>
      </c>
      <c r="W12" s="9">
        <f>IF(AND($B$23&gt;V$8,$B$23&lt;=X$8),V12-($B$23-V$8)*(V12-X12)/0.1,0)</f>
        <v>0</v>
      </c>
      <c r="X12" s="9">
        <v>140</v>
      </c>
      <c r="Y12" s="9">
        <f>IF(AND($B$23&gt;X$8,$B$23&lt;=Z$8),X12-($B$23-X$8)*(X12-Z12)/0.1,0)</f>
        <v>0</v>
      </c>
      <c r="Z12" s="9">
        <v>130</v>
      </c>
    </row>
    <row r="13" spans="1:27">
      <c r="A13" s="9">
        <v>0.9</v>
      </c>
      <c r="B13" s="9">
        <v>320</v>
      </c>
      <c r="C13" s="9">
        <f t="shared" si="0"/>
        <v>0</v>
      </c>
      <c r="D13" s="9">
        <v>280</v>
      </c>
      <c r="E13" s="9">
        <f t="shared" si="1"/>
        <v>0</v>
      </c>
      <c r="F13" s="9">
        <v>260</v>
      </c>
      <c r="G13" s="9">
        <f t="shared" si="3"/>
        <v>0</v>
      </c>
      <c r="H13" s="9">
        <v>240</v>
      </c>
      <c r="I13" s="9">
        <f t="shared" si="4"/>
        <v>0</v>
      </c>
      <c r="J13" s="9">
        <v>220</v>
      </c>
      <c r="K13" s="9">
        <f t="shared" si="5"/>
        <v>0</v>
      </c>
      <c r="L13" s="9">
        <v>210</v>
      </c>
      <c r="M13" s="9">
        <f t="shared" si="6"/>
        <v>0</v>
      </c>
      <c r="N13" s="9">
        <v>190</v>
      </c>
      <c r="O13" s="9">
        <f t="shared" si="7"/>
        <v>188</v>
      </c>
      <c r="P13" s="9">
        <v>180</v>
      </c>
      <c r="Q13" s="9">
        <f t="shared" si="8"/>
        <v>0</v>
      </c>
      <c r="R13" s="9">
        <v>160</v>
      </c>
      <c r="S13" s="9">
        <f t="shared" si="9"/>
        <v>0</v>
      </c>
      <c r="T13" s="9">
        <v>140</v>
      </c>
      <c r="U13" s="9">
        <f t="shared" si="2"/>
        <v>0</v>
      </c>
      <c r="V13" s="9">
        <v>130</v>
      </c>
      <c r="W13" s="9">
        <f>IF(AND($B$23&gt;V$8,$B$23&lt;=X$8),V13-($B$23-V$8)*(V13-X13)/0.1,0)</f>
        <v>0</v>
      </c>
      <c r="X13" s="9">
        <v>120</v>
      </c>
      <c r="Y13" s="9">
        <f>IF(AND($B$23&gt;X$8,$B$23&lt;=Z$8),X13-($B$23-X$8)*(X13-Z13)/0.1,0)</f>
        <v>0</v>
      </c>
      <c r="Z13" s="9">
        <v>100</v>
      </c>
    </row>
    <row r="14" spans="1:27">
      <c r="A14" s="32">
        <v>1</v>
      </c>
      <c r="B14" s="9">
        <v>250</v>
      </c>
      <c r="C14" s="9">
        <f t="shared" si="0"/>
        <v>0</v>
      </c>
      <c r="D14" s="9">
        <v>230</v>
      </c>
      <c r="E14" s="9">
        <f t="shared" si="1"/>
        <v>0</v>
      </c>
      <c r="F14" s="9">
        <v>220</v>
      </c>
      <c r="G14" s="9">
        <f t="shared" si="3"/>
        <v>0</v>
      </c>
      <c r="H14" s="9">
        <v>210</v>
      </c>
      <c r="I14" s="9">
        <f t="shared" si="4"/>
        <v>0</v>
      </c>
      <c r="J14" s="9">
        <v>190</v>
      </c>
      <c r="K14" s="9">
        <f t="shared" si="5"/>
        <v>0</v>
      </c>
      <c r="L14" s="9">
        <v>170</v>
      </c>
      <c r="M14" s="9">
        <f t="shared" si="6"/>
        <v>0</v>
      </c>
      <c r="N14" s="9">
        <v>160</v>
      </c>
      <c r="O14" s="9">
        <f t="shared" si="7"/>
        <v>158</v>
      </c>
      <c r="P14" s="9">
        <v>150</v>
      </c>
      <c r="Q14" s="9">
        <f t="shared" si="8"/>
        <v>0</v>
      </c>
      <c r="R14" s="9">
        <v>140</v>
      </c>
      <c r="S14" s="9">
        <f t="shared" si="9"/>
        <v>0</v>
      </c>
      <c r="T14" s="9">
        <v>120</v>
      </c>
      <c r="U14" s="9">
        <f t="shared" si="2"/>
        <v>0</v>
      </c>
      <c r="V14" s="9">
        <v>110</v>
      </c>
      <c r="W14" s="9"/>
      <c r="X14" s="9"/>
      <c r="Y14" s="9"/>
      <c r="Z14" s="9"/>
    </row>
    <row r="15" spans="1:27">
      <c r="A15" s="9">
        <v>1.1</v>
      </c>
      <c r="B15" s="9"/>
      <c r="C15" s="9"/>
      <c r="D15" s="9"/>
      <c r="E15" s="9"/>
      <c r="F15" s="9">
        <v>160</v>
      </c>
      <c r="G15" s="9">
        <f t="shared" si="3"/>
        <v>0</v>
      </c>
      <c r="H15" s="9">
        <v>150</v>
      </c>
      <c r="I15" s="9">
        <f t="shared" si="4"/>
        <v>0</v>
      </c>
      <c r="J15" s="9">
        <v>140</v>
      </c>
      <c r="K15" s="9">
        <f t="shared" si="5"/>
        <v>0</v>
      </c>
      <c r="L15" s="9">
        <v>130</v>
      </c>
      <c r="M15" s="9">
        <f t="shared" si="6"/>
        <v>0</v>
      </c>
      <c r="N15" s="9">
        <v>120</v>
      </c>
      <c r="O15" s="9">
        <f t="shared" si="7"/>
        <v>118</v>
      </c>
      <c r="P15" s="9">
        <v>110</v>
      </c>
      <c r="Q15" s="9">
        <f t="shared" si="8"/>
        <v>0</v>
      </c>
      <c r="R15" s="9">
        <v>100</v>
      </c>
      <c r="S15" s="9">
        <f t="shared" si="9"/>
        <v>0</v>
      </c>
      <c r="T15" s="9">
        <v>90</v>
      </c>
      <c r="U15" s="9"/>
      <c r="V15" s="9"/>
      <c r="W15" s="9"/>
      <c r="X15" s="9"/>
      <c r="Y15" s="9"/>
      <c r="Z15" s="9"/>
    </row>
    <row r="16" hidden="1" spans="1:27">
      <c r="A16" s="1">
        <v>0.6</v>
      </c>
      <c r="C16" s="1">
        <f>IF(AND($B$22&gt;=$A9,$B$22&lt;$A10),C9-($B$22-$A9)*10*(C9-C10),0)</f>
        <v>0</v>
      </c>
      <c r="E16" s="1">
        <f>IF(AND($B$22&gt;=$A9,$B$22&lt;$A10),E9-($B$22-$A9)*10*(E9-E10),0)</f>
        <v>0</v>
      </c>
      <c r="G16" s="1">
        <f>IF(AND($B$22&gt;=$A9,$B$22&lt;$A10),G9-($B$22-$A9)*10*(G9-G10),0)</f>
        <v>0</v>
      </c>
      <c r="I16" s="1">
        <f>IF(AND($B$22&gt;=$A9,$B$22&lt;$A10),I9-($B$22-$A9)*10*(I9-I10),0)</f>
        <v>0</v>
      </c>
      <c r="K16" s="1">
        <f>IF(AND($B$22&gt;=$A9,$B$22&lt;$A10),K9-($B$22-$A9)*10*(K9-K10),0)</f>
        <v>0</v>
      </c>
      <c r="M16" s="1">
        <f>IF(AND($B$22&gt;=$A9,$B$22&lt;$A10),M9-($B$22-$A9)*10*(M9-M10),0)</f>
        <v>0</v>
      </c>
      <c r="O16" s="1">
        <f>IF(AND($B$22&gt;=$A9,$B$22&lt;$A10),O9-($B$22-$A9)*10*(O9-O10),0)</f>
        <v>0</v>
      </c>
      <c r="Q16" s="1">
        <f>IF(AND($B$22&gt;=$A9,$B$22&lt;$A10),Q9-($B$22-$A9)*10*(Q9-Q10),0)</f>
        <v>0</v>
      </c>
      <c r="S16" s="1">
        <f>IF(AND($B$22&gt;=$A9,$B$22&lt;$A10),S9-($B$22-$A9)*10*(S9-S10),0)</f>
        <v>0</v>
      </c>
      <c r="U16" s="1">
        <f>IF(AND($B$22&gt;=$A9,$B$22&lt;$A10),U9-($B$22-$A9)*10*(U9-U10),0)</f>
        <v>0</v>
      </c>
    </row>
    <row r="17" hidden="1" spans="1:25">
      <c r="A17" s="1">
        <v>0.7</v>
      </c>
      <c r="C17" s="1">
        <f>IF(AND($B$22&gt;=$A10,$B$22&lt;$A11),C10-($B$22-$A10)*10*(C10-C11),0)</f>
        <v>0</v>
      </c>
      <c r="E17" s="1">
        <f>IF(AND($B$22&gt;=$A10,$B$22&lt;$A11),E10-($B$22-$A10)*10*(E10-E11),0)</f>
        <v>0</v>
      </c>
      <c r="G17" s="1">
        <f>IF(AND($B$22&gt;=$A10,$B$22&lt;$A11),G10-($B$22-$A10)*10*(G10-G11),0)</f>
        <v>0</v>
      </c>
      <c r="I17" s="1">
        <f>IF(AND($B$22&gt;=$A10,$B$22&lt;$A11),I10-($B$22-$A10)*10*(I10-I11),0)</f>
        <v>0</v>
      </c>
      <c r="K17" s="1">
        <f>IF(AND($B$22&gt;=$A10,$B$22&lt;$A11),K10-($B$22-$A10)*10*(K10-K11),0)</f>
        <v>0</v>
      </c>
      <c r="M17" s="1">
        <f>IF(AND($B$22&gt;=$A10,$B$22&lt;$A11),M10-($B$22-$A10)*10*(M10-M11),0)</f>
        <v>0</v>
      </c>
      <c r="O17" s="1">
        <f>IF(AND($B$22&gt;=$A10,$B$22&lt;$A11),O10-($B$22-$A10)*10*(O10-O11),0)</f>
        <v>0</v>
      </c>
      <c r="Q17" s="1">
        <f>IF(AND($B$22&gt;=$A10,$B$22&lt;$A11),Q10-($B$22-$A10)*10*(Q10-Q11),0)</f>
        <v>0</v>
      </c>
      <c r="S17" s="1">
        <f>IF(AND($B$22&gt;=$A10,$B$22&lt;$A11),S10-($B$22-$A10)*10*(S10-S11),0)</f>
        <v>0</v>
      </c>
      <c r="U17" s="1">
        <f>IF(AND($B$22&gt;=$A10,$B$22&lt;$A11),U10-($B$22-$A10)*10*(U10-U11),0)</f>
        <v>0</v>
      </c>
      <c r="W17" s="1">
        <f>IF(AND($B$22&gt;=$A10,$B$22&lt;$A11),W10-($B$22-$A10)*10*(W10-W11),0)</f>
        <v>0</v>
      </c>
    </row>
    <row r="18" hidden="1" spans="1:25">
      <c r="A18" s="1">
        <v>0.8</v>
      </c>
      <c r="C18" s="1">
        <f>IF(AND($B$22&gt;=$A11,$B$22&lt;$A12),C11-($B$22-$A11)*10*(C11-C12),0)</f>
        <v>0</v>
      </c>
      <c r="E18" s="1">
        <f>IF(AND($B$22&gt;=$A11,$B$22&lt;$A12),E11-($B$22-$A11)*10*(E11-E12),0)</f>
        <v>0</v>
      </c>
      <c r="G18" s="1">
        <f>IF(AND($B$22&gt;=$A11,$B$22&lt;$A12),G11-($B$22-$A11)*10*(G11-G12),0)</f>
        <v>0</v>
      </c>
      <c r="I18" s="1">
        <f>IF(AND($B$22&gt;=$A11,$B$22&lt;$A12),I11-($B$22-$A11)*10*(I11-I12),0)</f>
        <v>0</v>
      </c>
      <c r="K18" s="1">
        <f>IF(AND($B$22&gt;=$A11,$B$22&lt;$A12),K11-($B$22-$A11)*10*(K11-K12),0)</f>
        <v>0</v>
      </c>
      <c r="M18" s="1">
        <f>IF(AND($B$22&gt;=$A11,$B$22&lt;$A12),M11-($B$22-$A11)*10*(M11-M12),0)</f>
        <v>0</v>
      </c>
      <c r="O18" s="1">
        <f>IF(AND($B$22&gt;=$A11,$B$22&lt;$A12),O11-($B$22-$A11)*10*(O11-O12),0)</f>
        <v>0</v>
      </c>
      <c r="Q18" s="1">
        <f>IF(AND($B$22&gt;=$A11,$B$22&lt;$A12),Q11-($B$22-$A11)*10*(Q11-Q12),0)</f>
        <v>0</v>
      </c>
      <c r="S18" s="1">
        <f>IF(AND($B$22&gt;=$A11,$B$22&lt;$A12),S11-($B$22-$A11)*10*(S11-S12),0)</f>
        <v>0</v>
      </c>
      <c r="U18" s="1">
        <f>IF(AND($B$22&gt;=$A11,$B$22&lt;$A12),U11-($B$22-$A11)*10*(U11-U12),0)</f>
        <v>0</v>
      </c>
      <c r="W18" s="1">
        <f>IF(AND($B$22&gt;=$A11,$B$22&lt;$A12),W11-($B$22-$A11)*10*(W11-W12),0)</f>
        <v>0</v>
      </c>
      <c r="Y18" s="1">
        <f>IF(AND($B$22&gt;=$A11,$B$22&lt;$A12),Y11-($B$22-$A11)*10*(Y11-Y12),0)</f>
        <v>0</v>
      </c>
    </row>
    <row r="19" hidden="1" spans="1:25">
      <c r="A19" s="1">
        <v>0.9</v>
      </c>
      <c r="C19" s="1">
        <f>IF(AND($B$22&gt;=$A12,$B$22&lt;$A13),C12-($B$22-$A12)*10*(C12-C13),0)</f>
        <v>0</v>
      </c>
      <c r="E19" s="1">
        <f>IF(AND($B$22&gt;=$A12,$B$22&lt;$A13),E12-($B$22-$A12)*10*(E12-E13),0)</f>
        <v>0</v>
      </c>
      <c r="G19" s="1">
        <f>IF(AND($B$22&gt;=$A12,$B$22&lt;$A13),G12-($B$22-$A12)*10*(G12-G13),0)</f>
        <v>0</v>
      </c>
      <c r="I19" s="1">
        <f>IF(AND($B$22&gt;=$A12,$B$22&lt;$A13),I12-($B$22-$A12)*10*(I12-I13),0)</f>
        <v>0</v>
      </c>
      <c r="K19" s="1">
        <f>IF(AND($B$22&gt;=$A12,$B$22&lt;$A13),K12-($B$22-$A12)*10*(K12-K13),0)</f>
        <v>0</v>
      </c>
      <c r="M19" s="1">
        <f>IF(AND($B$22&gt;=$A12,$B$22&lt;$A13),M12-($B$22-$A12)*10*(M12-M13),0)</f>
        <v>0</v>
      </c>
      <c r="O19" s="1">
        <f>IF(AND($B$22&gt;=$A12,$B$22&lt;$A13),O12-($B$22-$A12)*10*(O12-O13),0)</f>
        <v>207.76</v>
      </c>
      <c r="Q19" s="1">
        <f>IF(AND($B$22&gt;=$A12,$B$22&lt;$A13),Q12-($B$22-$A12)*10*(Q12-Q13),0)</f>
        <v>0</v>
      </c>
      <c r="S19" s="1">
        <f>IF(AND($B$22&gt;=$A12,$B$22&lt;$A13),S12-($B$22-$A12)*10*(S12-S13),0)</f>
        <v>0</v>
      </c>
      <c r="U19" s="1">
        <f>IF(AND($B$22&gt;=$A12,$B$22&lt;$A13),U12-($B$22-$A12)*10*(U12-U13),0)</f>
        <v>0</v>
      </c>
      <c r="W19" s="1">
        <f>IF(AND($B$22&gt;=$A12,$B$22&lt;=$A13),W12-($B$22-$A12)*10*(W12-W13),0)</f>
        <v>0</v>
      </c>
      <c r="Y19" s="1">
        <f>IF(AND($B$22&gt;=$A12,$B$22&lt;=$A13),Y12-($B$22-$A12)*10*(Y12-Y13),0)</f>
        <v>0</v>
      </c>
    </row>
    <row r="20" hidden="1" spans="1:25">
      <c r="A20" s="1">
        <v>1</v>
      </c>
      <c r="C20" s="1">
        <f>IF(AND($B$22&gt;=$A13,$B$22&lt;=$A14),C13-($B$22-$A13)*10*(C13-C14),0)</f>
        <v>0</v>
      </c>
      <c r="E20" s="1">
        <f>IF(AND($B$22&gt;=$A13,$B$22&lt;=$A14),E13-($B$22-$A13)*10*(E13-E14),0)</f>
        <v>0</v>
      </c>
      <c r="G20" s="1">
        <f>IF(AND($B$22&gt;=$A13,$B$22&lt;$A14),G13-($B$22-$A13)*10*(G13-G14),0)</f>
        <v>0</v>
      </c>
      <c r="I20" s="1">
        <f>IF(AND($B$22&gt;=$A13,$B$22&lt;$A14),I13-($B$22-$A13)*10*(I13-I14),0)</f>
        <v>0</v>
      </c>
      <c r="K20" s="1">
        <f>IF(AND($B$22&gt;=$A13,$B$22&lt;$A14),K13-($B$22-$A13)*10*(K13-K14),0)</f>
        <v>0</v>
      </c>
      <c r="M20" s="1">
        <f>IF(AND($B$22&gt;=$A13,$B$22&lt;$A14),M13-($B$22-$A13)*10*(M13-M14),0)</f>
        <v>0</v>
      </c>
      <c r="O20" s="1">
        <f>IF(AND($B$22&gt;=$A13,$B$22&lt;$A14),O13-($B$22-$A13)*10*(O13-O14),0)</f>
        <v>0</v>
      </c>
      <c r="Q20" s="1">
        <f>IF(AND($B$22&gt;=$A13,$B$22&lt;$A14),Q13-($B$22-$A13)*10*(Q13-Q14),0)</f>
        <v>0</v>
      </c>
      <c r="S20" s="1">
        <f>IF(AND($B$22&gt;=$A13,$B$22&lt;$A14),S13-($B$22-$A13)*10*(S13-S14),0)</f>
        <v>0</v>
      </c>
      <c r="U20" s="1">
        <f>IF(AND($B$22&gt;=$A13,$B$22&lt;=$A14),U13-($B$22-$A13)*10*(U13-U14),0)</f>
        <v>0</v>
      </c>
    </row>
    <row r="21" hidden="1" spans="1:25">
      <c r="A21" s="1">
        <v>1.1</v>
      </c>
      <c r="G21" s="1">
        <f>IF(AND($B$22&gt;=$A14,$B$22&lt;=$A15),G14-($B$22-$A14)*10*(G14-G15),0)</f>
        <v>0</v>
      </c>
      <c r="I21" s="1">
        <f>IF(AND($B$22&gt;=$A14,$B$22&lt;=$A15),I14-($B$22-$A14)*10*(I14-I15),0)</f>
        <v>0</v>
      </c>
      <c r="K21" s="1">
        <f>IF(AND($B$22&gt;=$A14,$B$22&lt;=$A15),K14-($B$22-$A14)*10*(K14-K15),0)</f>
        <v>0</v>
      </c>
      <c r="M21" s="1">
        <f>IF(AND($B$22&gt;=$A14,$B$22&lt;=$A15),M14-($B$22-$A14)*10*(M14-M15),0)</f>
        <v>0</v>
      </c>
      <c r="O21" s="1">
        <f>IF(AND($B$22&gt;=$A14,$B$22&lt;=$A15),O14-($B$22-$A14)*10*(O14-O15),0)</f>
        <v>0</v>
      </c>
      <c r="Q21" s="1">
        <f>IF(AND($B$22&gt;=$A14,$B$22&lt;=$A15),Q14-($B$22-$A14)*10*(Q14-Q15),0)</f>
        <v>0</v>
      </c>
      <c r="S21" s="1">
        <f>IF(AND($B$22&gt;=$A14,$B$22&lt;=$A15),S14-($B$22-$A14)*10*(S14-S15),0)</f>
        <v>0</v>
      </c>
    </row>
    <row r="22" ht="15.5" hidden="1" spans="1:25">
      <c r="A22" s="8" t="s">
        <v>71</v>
      </c>
      <c r="B22" s="1">
        <f>IF(D4&lt;=0.5,0.5,D4)</f>
        <v>0.848</v>
      </c>
    </row>
    <row r="23" ht="15.5" hidden="1" spans="1:25">
      <c r="A23" s="8" t="s">
        <v>72</v>
      </c>
      <c r="B23" s="1">
        <f>IF(D5&lt;=0,0,D5)</f>
        <v>0.62</v>
      </c>
    </row>
  </sheetData>
  <sheetProtection password="CC3D" sheet="1" objects="1" scenarios="1"/>
  <mergeCells count="5">
    <mergeCell ref="A1:I1"/>
    <mergeCell ref="A2:D2"/>
    <mergeCell ref="E2:H2"/>
    <mergeCell ref="A4:B4"/>
    <mergeCell ref="A5:B5"/>
  </mergeCells>
  <pageMargins left="0.747916666666667" right="0.747916666666667" top="0.984027777777778" bottom="0.984027777777778" header="0.511805555555556" footer="0.511805555555556"/>
  <pageSetup paperSize="9" scale="99" orientation="landscape" verticalDpi="180"/>
  <headerFooter alignWithMargins="0" scaleWithDoc="0"/>
  <colBreaks count="1" manualBreakCount="1">
    <brk id="2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opLeftCell="A3" workbookViewId="0">
      <pane xSplit="1" ySplit="6" topLeftCell="B9" activePane="bottomRight" state="frozen"/>
      <selection/>
      <selection pane="topRight"/>
      <selection pane="bottomLeft"/>
      <selection pane="bottomRight" activeCell="D5" sqref="D5"/>
    </sheetView>
  </sheetViews>
  <sheetFormatPr defaultColWidth="8.75" defaultRowHeight="15"/>
  <cols>
    <col min="1" max="2" width="8.75" style="1" customWidth="1"/>
    <col min="3" max="3" width="9" style="1" hidden="1" customWidth="1"/>
    <col min="4" max="4" width="8.75" style="1" customWidth="1"/>
    <col min="5" max="5" width="9" style="1" hidden="1" customWidth="1"/>
    <col min="6" max="6" width="8.75" style="1" customWidth="1"/>
    <col min="7" max="7" width="9" style="1" hidden="1" customWidth="1"/>
    <col min="8" max="8" width="8.75" style="1" customWidth="1"/>
    <col min="9" max="9" width="8.75" style="1" hidden="1" customWidth="1"/>
    <col min="10" max="10" width="8.75" style="1" customWidth="1"/>
    <col min="11" max="11" width="9" style="1" hidden="1" customWidth="1"/>
    <col min="12" max="12" width="8.75" style="1" customWidth="1"/>
    <col min="13" max="13" width="9" style="1" hidden="1" customWidth="1"/>
    <col min="14" max="14" width="8.75" style="1" customWidth="1"/>
    <col min="15" max="16384" width="8.75" style="1"/>
  </cols>
  <sheetData>
    <row r="1" ht="28.9" customHeight="1" spans="1:14">
      <c r="A1" s="2" t="s">
        <v>73</v>
      </c>
      <c r="B1" s="2"/>
      <c r="C1" s="2"/>
      <c r="D1" s="2"/>
      <c r="E1" s="2"/>
      <c r="F1" s="2"/>
      <c r="G1" s="2"/>
      <c r="H1" s="2"/>
      <c r="I1" s="2"/>
    </row>
    <row r="2" spans="1:14">
      <c r="A2" s="11" t="s">
        <v>1</v>
      </c>
      <c r="B2" s="11"/>
      <c r="C2" s="11"/>
      <c r="D2" s="11"/>
      <c r="E2" s="12" t="s">
        <v>65</v>
      </c>
      <c r="F2" s="12"/>
      <c r="G2" s="12"/>
      <c r="H2" s="12"/>
      <c r="J2" s="12" t="s">
        <v>74</v>
      </c>
    </row>
    <row r="4" ht="25" spans="1:14">
      <c r="A4" s="2" t="s">
        <v>67</v>
      </c>
      <c r="B4" s="13"/>
      <c r="C4" s="2"/>
      <c r="D4" s="29">
        <v>0.703</v>
      </c>
      <c r="E4" s="2"/>
      <c r="F4" s="2" t="s">
        <v>68</v>
      </c>
      <c r="G4" s="2"/>
      <c r="H4" s="15">
        <f>MAX(C16:M20)</f>
        <v>238.699</v>
      </c>
      <c r="I4" s="2"/>
      <c r="J4" s="13" t="s">
        <v>19</v>
      </c>
    </row>
    <row r="5" ht="21" spans="1:14">
      <c r="A5" s="2" t="s">
        <v>75</v>
      </c>
      <c r="B5" s="13"/>
      <c r="C5" s="2"/>
      <c r="D5" s="6">
        <v>13.3</v>
      </c>
      <c r="E5" s="2"/>
      <c r="F5" s="2"/>
      <c r="G5" s="2"/>
      <c r="H5" s="2"/>
      <c r="I5" s="2"/>
      <c r="J5" s="2"/>
    </row>
    <row r="7" ht="15.5" spans="1:14">
      <c r="B7" s="8" t="s">
        <v>8</v>
      </c>
      <c r="C7" s="8"/>
    </row>
    <row r="8" ht="15.5" spans="1:14">
      <c r="A8" s="8" t="s">
        <v>71</v>
      </c>
      <c r="B8" s="9">
        <v>10</v>
      </c>
      <c r="C8" s="9"/>
      <c r="D8" s="9">
        <v>15</v>
      </c>
      <c r="E8" s="9"/>
      <c r="F8" s="9">
        <v>20</v>
      </c>
      <c r="G8" s="9"/>
      <c r="H8" s="9">
        <v>25</v>
      </c>
      <c r="I8" s="9"/>
      <c r="J8" s="9">
        <v>30</v>
      </c>
      <c r="K8" s="9"/>
      <c r="L8" s="9">
        <v>35</v>
      </c>
      <c r="M8" s="9"/>
      <c r="N8" s="9">
        <v>40</v>
      </c>
    </row>
    <row r="9" spans="1:14">
      <c r="A9" s="1">
        <v>0.5</v>
      </c>
      <c r="B9" s="9">
        <v>400</v>
      </c>
      <c r="C9" s="9">
        <f t="shared" ref="C9:C14" si="0">IF(AND($B$22&gt;=B$8,$B$22&lt;=D$8),B9-($B$22-B$8)*(B9-D9)/5,0)</f>
        <v>386.8</v>
      </c>
      <c r="D9" s="9">
        <v>380</v>
      </c>
      <c r="E9" s="9">
        <f t="shared" ref="E9:E14" si="1">IF(AND($B$22&gt;D$8,$B$22&lt;=F$8),D9-($B$22-D$8)*(D9-F9)/5,0)</f>
        <v>0</v>
      </c>
      <c r="F9" s="9">
        <v>355</v>
      </c>
      <c r="G9" s="9"/>
      <c r="H9" s="9"/>
      <c r="I9" s="9"/>
      <c r="J9" s="9"/>
      <c r="K9" s="9"/>
      <c r="L9" s="9"/>
      <c r="M9" s="9"/>
      <c r="N9" s="9"/>
    </row>
    <row r="10" spans="1:14">
      <c r="A10" s="1">
        <v>0.6</v>
      </c>
      <c r="B10" s="9">
        <v>300</v>
      </c>
      <c r="C10" s="9">
        <f t="shared" si="0"/>
        <v>293.4</v>
      </c>
      <c r="D10" s="9">
        <v>290</v>
      </c>
      <c r="E10" s="9">
        <f t="shared" si="1"/>
        <v>0</v>
      </c>
      <c r="F10" s="9">
        <v>280</v>
      </c>
      <c r="G10" s="9">
        <f>IF(AND($B$22&gt;F$8,$B$22&lt;=H$8),F10-($B$22-F$8)*(F10-H10)/5,0)</f>
        <v>0</v>
      </c>
      <c r="H10" s="9">
        <v>270</v>
      </c>
      <c r="I10" s="9"/>
      <c r="J10" s="9"/>
      <c r="K10" s="9"/>
      <c r="L10" s="9"/>
      <c r="M10" s="9"/>
      <c r="N10" s="9"/>
    </row>
    <row r="11" spans="1:14">
      <c r="A11" s="1">
        <v>0.7</v>
      </c>
      <c r="B11" s="9">
        <v>250</v>
      </c>
      <c r="C11" s="9">
        <f t="shared" si="0"/>
        <v>240.1</v>
      </c>
      <c r="D11" s="9">
        <v>235</v>
      </c>
      <c r="E11" s="9">
        <f t="shared" si="1"/>
        <v>0</v>
      </c>
      <c r="F11" s="9">
        <v>225</v>
      </c>
      <c r="G11" s="9">
        <f>IF(AND($B$22&gt;F$8,$B$22&lt;=H$8),F11-($B$22-F$8)*(F11-H11)/5,0)</f>
        <v>0</v>
      </c>
      <c r="H11" s="9">
        <v>215</v>
      </c>
      <c r="I11" s="9">
        <f>IF(AND($B$22&gt;H$8,$B$22&lt;=J$8),H11-($B$22-H$8)*(H11-J11)/5,0)</f>
        <v>0</v>
      </c>
      <c r="J11" s="9">
        <v>205</v>
      </c>
      <c r="K11" s="9"/>
      <c r="L11" s="9"/>
      <c r="M11" s="9"/>
      <c r="N11" s="9"/>
    </row>
    <row r="12" spans="1:14">
      <c r="A12" s="1">
        <v>0.8</v>
      </c>
      <c r="B12" s="9">
        <v>200</v>
      </c>
      <c r="C12" s="9">
        <f t="shared" si="0"/>
        <v>193.4</v>
      </c>
      <c r="D12" s="9">
        <v>190</v>
      </c>
      <c r="E12" s="9">
        <f t="shared" si="1"/>
        <v>0</v>
      </c>
      <c r="F12" s="9">
        <v>180</v>
      </c>
      <c r="G12" s="9">
        <f>IF(AND($B$22&gt;F$8,$B$22&lt;=H$8),F12-($B$22-F$8)*(F12-H12)/5,0)</f>
        <v>0</v>
      </c>
      <c r="H12" s="9">
        <v>170</v>
      </c>
      <c r="I12" s="9">
        <f>IF(AND($B$22&gt;H$8,$B$22&lt;=J$8),H12-($B$22-H$8)*(H12-J12)/5,0)</f>
        <v>0</v>
      </c>
      <c r="J12" s="9">
        <v>165</v>
      </c>
      <c r="K12" s="9"/>
      <c r="L12" s="9"/>
      <c r="M12" s="9"/>
      <c r="N12" s="9"/>
    </row>
    <row r="13" spans="1:14">
      <c r="A13" s="1">
        <v>0.9</v>
      </c>
      <c r="B13" s="9">
        <v>160</v>
      </c>
      <c r="C13" s="9">
        <f t="shared" si="0"/>
        <v>153.4</v>
      </c>
      <c r="D13" s="9">
        <v>150</v>
      </c>
      <c r="E13" s="9">
        <f t="shared" si="1"/>
        <v>0</v>
      </c>
      <c r="F13" s="9">
        <v>145</v>
      </c>
      <c r="G13" s="9">
        <f>IF(AND($B$22&gt;F$8,$B$22&lt;=H$8),F13-($B$22-F$8)*(F13-H13)/5,0)</f>
        <v>0</v>
      </c>
      <c r="H13" s="9">
        <v>140</v>
      </c>
      <c r="I13" s="9">
        <f>IF(AND($B$22&gt;H$8,$B$22&lt;=J$8),H13-($B$22-H$8)*(H13-J13)/5,0)</f>
        <v>0</v>
      </c>
      <c r="J13" s="9">
        <v>130</v>
      </c>
      <c r="K13" s="9">
        <f>IF(AND($B$22&gt;J$8,$B$22&lt;=L$8),J13-($B$22-J$8)*(J13-L13)/5,0)</f>
        <v>0</v>
      </c>
      <c r="L13" s="9">
        <v>125</v>
      </c>
      <c r="M13" s="9"/>
      <c r="N13" s="9"/>
    </row>
    <row r="14" spans="1:14">
      <c r="A14" s="30">
        <v>1</v>
      </c>
      <c r="B14" s="9">
        <v>130</v>
      </c>
      <c r="C14" s="9">
        <f t="shared" si="0"/>
        <v>126.7</v>
      </c>
      <c r="D14" s="9">
        <v>125</v>
      </c>
      <c r="E14" s="9">
        <f t="shared" si="1"/>
        <v>0</v>
      </c>
      <c r="F14" s="9">
        <v>120</v>
      </c>
      <c r="G14" s="9">
        <f>IF(AND($B$22&gt;F$8,$B$22&lt;=H$8),F14-($B$22-F$8)*(F14-H14)/5,0)</f>
        <v>0</v>
      </c>
      <c r="H14" s="9">
        <v>115</v>
      </c>
      <c r="I14" s="9">
        <f>IF(AND($B$22&gt;H$8,$B$22&lt;=J$8),H14-($B$22-H$8)*(H14-J14)/5,0)</f>
        <v>0</v>
      </c>
      <c r="J14" s="9">
        <v>110</v>
      </c>
      <c r="K14" s="9">
        <f>IF(AND($B$22&gt;J$8,$B$22&lt;=L$8),J14-($B$22-J$8)*(J14-L14)/5,0)</f>
        <v>0</v>
      </c>
      <c r="L14" s="9">
        <v>105</v>
      </c>
      <c r="M14" s="9">
        <f>IF(AND($B$22&gt;L$8,$B$22&lt;=N$8),L14-($B$22-L$8)*(L14-N14)/5,0)</f>
        <v>0</v>
      </c>
      <c r="N14" s="9">
        <v>100</v>
      </c>
    </row>
    <row r="15" hidden="1" spans="1:14">
      <c r="A15" s="1">
        <v>0.5</v>
      </c>
    </row>
    <row r="16" hidden="1" spans="1:14">
      <c r="A16" s="1">
        <v>0.6</v>
      </c>
      <c r="C16" s="1">
        <f>IF(AND($B$21&gt;=$A9,$B$21&lt;$A10),C9-($B$21-$A9)*10*(C9-C10),0)</f>
        <v>0</v>
      </c>
      <c r="E16" s="1">
        <f>IF(AND($B$21&gt;=$A9,$B$21&lt;$A10),E9-($B$21-$A9)*10*(E9-E10),0)</f>
        <v>0</v>
      </c>
    </row>
    <row r="17" hidden="1" spans="1:13">
      <c r="A17" s="1">
        <v>0.7</v>
      </c>
      <c r="C17" s="1">
        <f>IF(AND($B$21&gt;=$A10,$B$21&lt;$A11),C10-($B$21-$A10)*10*(C10-C11),0)</f>
        <v>0</v>
      </c>
      <c r="E17" s="1">
        <f>IF(AND($B$21&gt;=$A10,$B$21&lt;$A11),E10-($B$21-$A10)*10*(E10-E11),0)</f>
        <v>0</v>
      </c>
      <c r="G17" s="1">
        <f>IF(AND($B$21&gt;=$A10,$B$21&lt;$A11),G10-($B$21-$A10)*10*(G10-G11),0)</f>
        <v>0</v>
      </c>
    </row>
    <row r="18" hidden="1" spans="1:13">
      <c r="A18" s="1">
        <v>0.8</v>
      </c>
      <c r="C18" s="1">
        <f>IF(AND($B$21&gt;=$A11,$B$21&lt;$A12),C11-($B$21-$A11)*10*(C11-C12),0)</f>
        <v>238.699</v>
      </c>
      <c r="E18" s="1">
        <f>IF(AND($B$21&gt;=$A11,$B$21&lt;$A12),E11-($B$21-$A11)*10*(E11-E12),0)</f>
        <v>0</v>
      </c>
      <c r="G18" s="1">
        <f>IF(AND($B$21&gt;=$A11,$B$21&lt;$A12),G11-($B$21-$A11)*10*(G11-G12),0)</f>
        <v>0</v>
      </c>
      <c r="I18" s="1">
        <f>IF(AND($B$21&gt;=$A11,$B$21&lt;$A12),I11-($B$21-$A11)*10*(I11-I12),0)</f>
        <v>0</v>
      </c>
    </row>
    <row r="19" hidden="1" spans="1:13">
      <c r="A19" s="1">
        <v>0.9</v>
      </c>
      <c r="C19" s="1">
        <f>IF(AND($B$21&gt;=$A12,$B$21&lt;$A13),C12-($B$21-$A12)*10*(C12-C13),0)</f>
        <v>0</v>
      </c>
      <c r="E19" s="1">
        <f>IF(AND($B$21&gt;=$A12,$B$21&lt;$A13),E12-($B$21-$A12)*10*(E12-E13),0)</f>
        <v>0</v>
      </c>
      <c r="G19" s="1">
        <f>IF(AND($B$21&gt;=$A12,$B$21&lt;$A13),G12-($B$21-$A12)*10*(G12-G13),0)</f>
        <v>0</v>
      </c>
      <c r="I19" s="1">
        <f>IF(AND($B$21&gt;=$A12,$B$21&lt;$A13),I12-($B$21-$A12)*10*(I12-I13),0)</f>
        <v>0</v>
      </c>
    </row>
    <row r="20" hidden="1" spans="1:13">
      <c r="A20" s="1">
        <v>1</v>
      </c>
      <c r="C20" s="1">
        <f>IF(AND($B$21&gt;=$A13,$B$21&lt;=$A14),C13-($B$21-$A13)*10*(C13-C14),0)</f>
        <v>0</v>
      </c>
      <c r="E20" s="1">
        <f>IF(AND($B$21&gt;=$A13,$B$21&lt;=$A14),E13-($B$21-$A13)*10*(E13-E14),0)</f>
        <v>0</v>
      </c>
      <c r="G20" s="1">
        <f>IF(AND($B$21&gt;=$A13,$B$21&lt;=$A14),G13-($B$21-$A13)*10*(G13-G14),0)</f>
        <v>0</v>
      </c>
      <c r="I20" s="1">
        <f>IF(AND($B$21&gt;=$A13,$B$21&lt;=$A14),I13-($B$21-$A13)*10*(I13-I14),0)</f>
        <v>0</v>
      </c>
      <c r="K20" s="1">
        <f>IF(AND($B$21&gt;=$A13,$B$21&lt;=$A14),K13-($B$21-$A13)*10*(K13-K14),0)</f>
        <v>0</v>
      </c>
      <c r="M20" s="1">
        <f>IF($B$21=1,M14,0)</f>
        <v>0</v>
      </c>
    </row>
    <row r="21" ht="15.5" hidden="1" spans="1:13">
      <c r="A21" s="8" t="s">
        <v>71</v>
      </c>
      <c r="B21" s="1">
        <f>IF(D4&lt;=0.5,0.5,D4)</f>
        <v>0.703</v>
      </c>
    </row>
    <row r="22" ht="15.5" hidden="1" spans="1:13">
      <c r="A22" s="8" t="s">
        <v>8</v>
      </c>
      <c r="B22" s="1">
        <f>IF(D5&lt;=10,10,D5)</f>
        <v>13.3</v>
      </c>
    </row>
  </sheetData>
  <sheetProtection password="CC3D" sheet="1" objects="1" scenarios="1"/>
  <mergeCells count="5">
    <mergeCell ref="A1:I1"/>
    <mergeCell ref="A2:D2"/>
    <mergeCell ref="E2:H2"/>
    <mergeCell ref="A4:B4"/>
    <mergeCell ref="A5:B5"/>
  </mergeCells>
  <pageMargins left="0.747916666666667" right="0.747916666666667" top="0.984027777777778" bottom="0.984027777777778" header="0.511805555555556" footer="0.511805555555556"/>
  <pageSetup paperSize="9" orientation="landscape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C4" sqref="C4:C6"/>
    </sheetView>
  </sheetViews>
  <sheetFormatPr defaultColWidth="8.75" defaultRowHeight="15"/>
  <cols>
    <col min="1" max="1" width="13" style="18" customWidth="1"/>
    <col min="2" max="2" width="11.25" style="18" customWidth="1"/>
    <col min="3" max="3" width="8.75" style="18" customWidth="1"/>
    <col min="4" max="4" width="8.75" style="19" hidden="1" customWidth="1"/>
    <col min="5" max="5" width="8.75" style="20" customWidth="1"/>
    <col min="6" max="6" width="8.75" style="19" hidden="1" customWidth="1"/>
    <col min="7" max="7" width="8.75" style="20" customWidth="1"/>
    <col min="8" max="8" width="8.75" style="19" hidden="1" customWidth="1"/>
    <col min="9" max="9" width="8.75" style="18" customWidth="1"/>
    <col min="10" max="10" width="8.75" style="19" hidden="1" customWidth="1"/>
    <col min="11" max="11" width="8.75" style="18" customWidth="1"/>
    <col min="12" max="12" width="9" style="19" hidden="1" customWidth="1"/>
    <col min="13" max="13" width="8.75" style="18" customWidth="1"/>
    <col min="14" max="14" width="9" style="18" hidden="1" customWidth="1"/>
    <col min="15" max="15" width="8.75" style="18" customWidth="1"/>
    <col min="16" max="16384" width="8.75" style="18"/>
  </cols>
  <sheetData>
    <row r="1" ht="36" customHeight="1" spans="1:15">
      <c r="A1" s="2" t="s">
        <v>76</v>
      </c>
      <c r="B1" s="2"/>
      <c r="C1" s="2"/>
      <c r="D1" s="2"/>
      <c r="E1" s="2"/>
      <c r="F1" s="2"/>
      <c r="G1" s="2"/>
      <c r="H1" s="2"/>
      <c r="I1" s="2"/>
    </row>
    <row r="2" ht="15.5" spans="1:15">
      <c r="A2" s="18" t="s">
        <v>1</v>
      </c>
      <c r="E2" s="21" t="s">
        <v>65</v>
      </c>
      <c r="F2" s="21"/>
      <c r="G2" s="21"/>
      <c r="I2" s="21" t="s">
        <v>77</v>
      </c>
    </row>
    <row r="4" ht="21" spans="1:15">
      <c r="A4" s="22" t="s">
        <v>78</v>
      </c>
      <c r="B4" s="22"/>
      <c r="C4" s="14">
        <v>37.4</v>
      </c>
    </row>
    <row r="5" ht="25" spans="1:15">
      <c r="A5" s="22" t="s">
        <v>67</v>
      </c>
      <c r="B5" s="22"/>
      <c r="C5" s="16">
        <v>0.674</v>
      </c>
      <c r="E5" s="22" t="s">
        <v>68</v>
      </c>
      <c r="G5" s="23">
        <f>IF(A40&lt;28,C41-(28-A40)*(C41-C40)/4,C41+(A40-28)*(C42-C41)/4)</f>
        <v>213</v>
      </c>
      <c r="I5" s="21" t="s">
        <v>19</v>
      </c>
    </row>
    <row r="6" ht="21" spans="1:15">
      <c r="A6" s="22" t="s">
        <v>75</v>
      </c>
      <c r="B6" s="22"/>
      <c r="C6" s="17">
        <v>21.7</v>
      </c>
    </row>
    <row r="7" ht="21" spans="1:15">
      <c r="A7" s="22"/>
      <c r="B7" s="22"/>
    </row>
    <row r="8" ht="21" spans="1:15">
      <c r="A8" s="22"/>
      <c r="B8" s="22"/>
    </row>
    <row r="9" ht="15.5" spans="1:15">
      <c r="C9" s="21" t="s">
        <v>8</v>
      </c>
    </row>
    <row r="10" ht="15.5" spans="1:15">
      <c r="A10" s="24" t="s">
        <v>79</v>
      </c>
      <c r="B10" s="24" t="s">
        <v>71</v>
      </c>
      <c r="C10" s="25">
        <v>5</v>
      </c>
      <c r="D10" s="26"/>
      <c r="E10" s="27">
        <v>10</v>
      </c>
      <c r="F10" s="26"/>
      <c r="G10" s="27">
        <v>15</v>
      </c>
      <c r="H10" s="26"/>
      <c r="I10" s="25">
        <v>20</v>
      </c>
      <c r="J10" s="26"/>
      <c r="K10" s="25">
        <v>25</v>
      </c>
      <c r="L10" s="26"/>
      <c r="M10" s="25">
        <v>30</v>
      </c>
      <c r="N10" s="25"/>
      <c r="O10" s="25">
        <v>35</v>
      </c>
    </row>
    <row r="11" spans="1:15">
      <c r="A11" s="9">
        <v>24</v>
      </c>
      <c r="B11" s="25">
        <v>0.7</v>
      </c>
      <c r="C11" s="25">
        <v>260</v>
      </c>
      <c r="D11" s="26">
        <f>IF(AND($A$42&gt;=5,$A$42&lt;=10),C11-($A$42-5)/5*(C11-E11),0)</f>
        <v>0</v>
      </c>
      <c r="E11" s="27">
        <v>230</v>
      </c>
      <c r="F11" s="26">
        <f>IF(AND($A$42&gt;10,$A$42&lt;=15),E11-($A$42-10)/5*(E11-G11),0)</f>
        <v>0</v>
      </c>
      <c r="G11" s="27">
        <v>190</v>
      </c>
      <c r="H11" s="26">
        <f>IF(AND($A$42&gt;15,$A$42&lt;=20),G11-($A$42-15)/5*(G11-I11),0)</f>
        <v>0</v>
      </c>
      <c r="I11" s="25">
        <v>150</v>
      </c>
      <c r="J11" s="26">
        <f>IF(AND($A$42&gt;20,$A$42&lt;=25),I11-($A$42-20)/5*(I11-K11),0)</f>
        <v>136.4</v>
      </c>
      <c r="K11" s="25">
        <v>110</v>
      </c>
      <c r="L11" s="26">
        <f>IF(AND($A$42&gt;25,$A$42&lt;=30),K11-($A$42-25)/5*(K11-M11),0)</f>
        <v>0</v>
      </c>
      <c r="M11" s="25">
        <v>70</v>
      </c>
      <c r="N11" s="25"/>
      <c r="O11" s="25"/>
    </row>
    <row r="12" spans="1:15">
      <c r="A12" s="9"/>
      <c r="B12" s="25">
        <v>0.9</v>
      </c>
      <c r="C12" s="25">
        <v>240</v>
      </c>
      <c r="D12" s="26">
        <f>IF(AND($A$42&gt;=5,$A$42&lt;=10),C12-($A$42-5)/5*(C12-E12),0)</f>
        <v>0</v>
      </c>
      <c r="E12" s="27">
        <v>200</v>
      </c>
      <c r="F12" s="26">
        <f>IF(AND($A$42&gt;10,$A$42&lt;=15),E12-($A$42-10)/5*(E12-G12),0)</f>
        <v>0</v>
      </c>
      <c r="G12" s="27">
        <v>160</v>
      </c>
      <c r="H12" s="26">
        <f>IF(AND($A$42&gt;15,$A$42&lt;=20),G12-($A$42-15)/5*(G12-I12),0)</f>
        <v>0</v>
      </c>
      <c r="I12" s="25">
        <v>125</v>
      </c>
      <c r="J12" s="26">
        <f>IF(AND($A$42&gt;20,$A$42&lt;=25),I12-($A$42-20)/5*(I12-K12),0)</f>
        <v>111.4</v>
      </c>
      <c r="K12" s="25">
        <v>85</v>
      </c>
      <c r="L12" s="26">
        <f>IF(AND($A$42&gt;25,$A$42&lt;=30),K12-($A$42-25)/5*(K12-M12),0)</f>
        <v>0</v>
      </c>
      <c r="M12" s="25">
        <v>50</v>
      </c>
      <c r="N12" s="25"/>
      <c r="O12" s="25"/>
    </row>
    <row r="13" spans="1:15">
      <c r="A13" s="9"/>
      <c r="B13" s="25">
        <v>1.1</v>
      </c>
      <c r="C13" s="25">
        <v>210</v>
      </c>
      <c r="D13" s="26">
        <f>IF(AND($A$42&gt;=5,$A$42&lt;=10),C13-($A$42-5)/5*(C13-E13),0)</f>
        <v>0</v>
      </c>
      <c r="E13" s="27">
        <v>170</v>
      </c>
      <c r="F13" s="26">
        <f>IF(AND($A$42&gt;10,$A$42&lt;=15),E13-($A$42-10)/5*(E13-G13),0)</f>
        <v>0</v>
      </c>
      <c r="G13" s="27">
        <v>130</v>
      </c>
      <c r="H13" s="26">
        <f>IF(AND($A$42&gt;15,$A$42&lt;=20),G13-($A$42-15)/5*(G13-I13),0)</f>
        <v>0</v>
      </c>
      <c r="I13" s="25">
        <v>100</v>
      </c>
      <c r="J13" s="26">
        <f>IF(AND($A$42&gt;20,$A$42&lt;=25),I13-($A$42-20)/5*(I13-K13),0)</f>
        <v>86.4</v>
      </c>
      <c r="K13" s="25">
        <v>60</v>
      </c>
      <c r="L13" s="26">
        <f>IF(AND($A$42&gt;25,$A$42&lt;=30),K13-($A$42-25)/5*(K13-M13),0)</f>
        <v>0</v>
      </c>
      <c r="M13" s="25">
        <v>20</v>
      </c>
      <c r="N13" s="25"/>
      <c r="O13" s="25"/>
    </row>
    <row r="14" spans="1:15">
      <c r="A14" s="9"/>
      <c r="B14" s="25">
        <v>1.3</v>
      </c>
      <c r="C14" s="25">
        <v>180</v>
      </c>
      <c r="D14" s="26">
        <f>IF(AND($A$42&gt;=5,$A$42&lt;=10),C14-($A$42-5)/5*(C14-E14),0)</f>
        <v>0</v>
      </c>
      <c r="E14" s="27">
        <v>140</v>
      </c>
      <c r="F14" s="26">
        <f>IF(AND($A$42&gt;10,$A$42&lt;=15),E14-($A$42-10)/5*(E14-G14),0)</f>
        <v>0</v>
      </c>
      <c r="G14" s="27">
        <v>100</v>
      </c>
      <c r="H14" s="26">
        <f>IF(AND($A$42&gt;15,$A$42&lt;=20),G14-($A$42-15)/5*(G14-I14),0)</f>
        <v>0</v>
      </c>
      <c r="I14" s="25">
        <v>70</v>
      </c>
      <c r="J14" s="26">
        <f>IF(AND($A$42&gt;20,$A$42&lt;=25),I14-($A$42-20)/5*(I14-K14),0)</f>
        <v>59.8</v>
      </c>
      <c r="K14" s="25">
        <v>40</v>
      </c>
      <c r="L14" s="26">
        <f>IF(AND($A$42&gt;25,$A$42&lt;=30),K14-($A$42-25)/5*(K14-M14),0)</f>
        <v>0</v>
      </c>
      <c r="M14" s="25">
        <v>10</v>
      </c>
      <c r="N14" s="25"/>
      <c r="O14" s="25"/>
    </row>
    <row r="15" hidden="1" spans="1:15">
      <c r="A15" s="25"/>
      <c r="B15" s="25"/>
      <c r="C15" s="25"/>
      <c r="D15" s="26">
        <f>IF($A$41&lt;=0.7,D11,0)</f>
        <v>0</v>
      </c>
      <c r="E15" s="27"/>
      <c r="F15" s="26">
        <f>IF($A$41&lt;=0.7,F11,0)</f>
        <v>0</v>
      </c>
      <c r="G15" s="27"/>
      <c r="H15" s="26">
        <f>IF($A$41&lt;=0.7,H11,0)</f>
        <v>0</v>
      </c>
      <c r="I15" s="25"/>
      <c r="J15" s="26">
        <f>IF($A$41&lt;=0.7,J11,0)</f>
        <v>136.4</v>
      </c>
      <c r="K15" s="25"/>
      <c r="L15" s="26">
        <f>IF($A$41&lt;=0.7,L11,0)</f>
        <v>0</v>
      </c>
      <c r="M15" s="25"/>
      <c r="N15" s="25"/>
      <c r="O15" s="25"/>
    </row>
    <row r="16" hidden="1" spans="1:15">
      <c r="A16" s="25"/>
      <c r="B16" s="25"/>
      <c r="C16" s="25"/>
      <c r="D16" s="26">
        <f>IF(AND($A$41&gt;$B11,$A$41&lt;=$B12),D11-($A$41-$B11)*(D11-D12)/0.2,0)</f>
        <v>0</v>
      </c>
      <c r="E16" s="27"/>
      <c r="F16" s="26">
        <f>IF(AND($A$41&gt;$B11,$A$41&lt;=$B12),F11-($A$41-$B11)*(F11-F12)/0.2,0)</f>
        <v>0</v>
      </c>
      <c r="G16" s="27"/>
      <c r="H16" s="26">
        <f>IF(AND($A$41&gt;$B11,$A$41&lt;=$B12),H11-($A$41-$B11)*(H11-H12)/0.2,0)</f>
        <v>0</v>
      </c>
      <c r="I16" s="25"/>
      <c r="J16" s="26">
        <f>IF(AND($A$41&gt;$B11,$A$41&lt;=$B12),J11-($A$41-$B11)*(J11-J12)/0.2,0)</f>
        <v>0</v>
      </c>
      <c r="K16" s="25"/>
      <c r="L16" s="26">
        <f>IF(AND($A$41&gt;$B11,$A$41&lt;=$B12),L11-($A$41-$B11)*(L11-L12)/0.2,0)</f>
        <v>0</v>
      </c>
      <c r="M16" s="25"/>
      <c r="N16" s="25"/>
      <c r="O16" s="25"/>
    </row>
    <row r="17" hidden="1" spans="1:15">
      <c r="A17" s="25"/>
      <c r="B17" s="25"/>
      <c r="C17" s="25"/>
      <c r="D17" s="26">
        <f>IF(AND($A$41&gt;$B12,$A$41&lt;=$B13),D12-($A$41-$B12)*(D12-D13)/0.2,0)</f>
        <v>0</v>
      </c>
      <c r="E17" s="27"/>
      <c r="F17" s="26">
        <f>IF(AND($A$41&gt;$B12,$A$41&lt;=$B13),F12-($A$41-$B12)*(F12-F13)/0.2,0)</f>
        <v>0</v>
      </c>
      <c r="G17" s="27"/>
      <c r="H17" s="26">
        <f>IF(AND($A$41&gt;$B12,$A$41&lt;=$B13),H12-($A$41-$B12)*(H12-H13)/0.2,0)</f>
        <v>0</v>
      </c>
      <c r="I17" s="25"/>
      <c r="J17" s="26">
        <f>IF(AND($A$41&gt;$B12,$A$41&lt;=$B13),J12-($A$41-$B12)*(J12-J13)/0.2,0)</f>
        <v>0</v>
      </c>
      <c r="K17" s="25"/>
      <c r="L17" s="26">
        <f>IF(AND($A$41&gt;$B12,$A$41&lt;=$B13),L12-($A$41-$B12)*(L12-L13)/0.2,0)</f>
        <v>0</v>
      </c>
      <c r="M17" s="25"/>
      <c r="N17" s="25"/>
      <c r="O17" s="25"/>
    </row>
    <row r="18" hidden="1" spans="1:15">
      <c r="A18" s="25"/>
      <c r="B18" s="25"/>
      <c r="C18" s="25"/>
      <c r="D18" s="26">
        <f>IF(AND($A$41&gt;$B13,$A$41&lt;=$B14),D13-($A$41-$B13)*(D13-D14)/0.2,0)</f>
        <v>0</v>
      </c>
      <c r="E18" s="27"/>
      <c r="F18" s="26">
        <f>IF(AND($A$41&gt;$B13,$A$41&lt;=$B14),F13-($A$41-$B13)*(F13-F14)/0.2,0)</f>
        <v>0</v>
      </c>
      <c r="G18" s="27"/>
      <c r="H18" s="26">
        <f>IF(AND($A$41&gt;$B13,$A$41&lt;=$B14),H13-($A$41-$B13)*(H13-H14)/0.2,0)</f>
        <v>0</v>
      </c>
      <c r="I18" s="25"/>
      <c r="J18" s="26">
        <f>IF(AND($A$41&gt;$B13,$A$41&lt;=$B14),J13-($A$41-$B13)*(J13-J14)/0.2,0)</f>
        <v>0</v>
      </c>
      <c r="K18" s="25"/>
      <c r="L18" s="26">
        <f>IF(AND($A$41&gt;$B13,$A$41&lt;=$B14),L13-($A$41-$B13)*(L13-L14)/0.2,0)</f>
        <v>0</v>
      </c>
      <c r="M18" s="25"/>
      <c r="N18" s="25"/>
      <c r="O18" s="25"/>
    </row>
    <row r="19" hidden="1" spans="1:15">
      <c r="A19" s="25"/>
      <c r="B19" s="25"/>
      <c r="C19" s="25"/>
      <c r="D19" s="26">
        <f>IF($A$41&gt;1.3,0,0)</f>
        <v>0</v>
      </c>
      <c r="E19" s="27"/>
      <c r="F19" s="26">
        <f>IF($A$41&gt;1.3,0,0)</f>
        <v>0</v>
      </c>
      <c r="G19" s="27"/>
      <c r="H19" s="26">
        <f>IF($A$41&gt;1.3,0,0)</f>
        <v>0</v>
      </c>
      <c r="I19" s="25"/>
      <c r="J19" s="26">
        <f>IF($A$41&gt;1.3,0,0)</f>
        <v>0</v>
      </c>
      <c r="K19" s="25"/>
      <c r="L19" s="26">
        <f>IF($A$41&gt;1.3,0,0)</f>
        <v>0</v>
      </c>
      <c r="M19" s="25"/>
      <c r="N19" s="25"/>
      <c r="O19" s="25"/>
    </row>
    <row r="20" spans="1:15">
      <c r="A20" s="9">
        <v>28</v>
      </c>
      <c r="B20" s="25">
        <v>0.7</v>
      </c>
      <c r="C20" s="25">
        <v>280</v>
      </c>
      <c r="D20" s="26">
        <f>IF(AND($A$42&gt;=5,$A$42&lt;=10),C20-($A$42-5)/5*(C20-E20),0)</f>
        <v>0</v>
      </c>
      <c r="E20" s="27">
        <v>260</v>
      </c>
      <c r="F20" s="26">
        <f>IF(AND($A$42&gt;10,$A$42&lt;=15),E20-($A$42-10)/5*(E20-G20),0)</f>
        <v>0</v>
      </c>
      <c r="G20" s="27">
        <v>230</v>
      </c>
      <c r="H20" s="26">
        <f>IF(AND($A$42&gt;15,$A$42&lt;=20),G20-($A$42-15)/5*(G20-I20),0)</f>
        <v>0</v>
      </c>
      <c r="I20" s="25">
        <v>190</v>
      </c>
      <c r="J20" s="26">
        <f>IF(AND($A$42&gt;20,$A$42&lt;=25),I20-($A$42-20)/5*(I20-K20),0)</f>
        <v>176.4</v>
      </c>
      <c r="K20" s="25">
        <v>150</v>
      </c>
      <c r="L20" s="26">
        <f>IF(AND($A$42&gt;25,$A$42&lt;=30),K20-($A$42-25)/5*(K20-M20),0)</f>
        <v>0</v>
      </c>
      <c r="M20" s="25">
        <v>110</v>
      </c>
      <c r="N20" s="25"/>
      <c r="O20" s="25"/>
    </row>
    <row r="21" spans="1:15">
      <c r="A21" s="9"/>
      <c r="B21" s="25">
        <v>0.9</v>
      </c>
      <c r="C21" s="25">
        <v>260</v>
      </c>
      <c r="D21" s="26">
        <f>IF(AND($A$42&gt;=5,$A$42&lt;=10),C21-($A$42-5)/5*(C21-E21),0)</f>
        <v>0</v>
      </c>
      <c r="E21" s="27">
        <v>240</v>
      </c>
      <c r="F21" s="26">
        <f>IF(AND($A$42&gt;10,$A$42&lt;=15),E21-($A$42-10)/5*(E21-G21),0)</f>
        <v>0</v>
      </c>
      <c r="G21" s="27">
        <v>200</v>
      </c>
      <c r="H21" s="26">
        <f>IF(AND($A$42&gt;15,$A$42&lt;=20),G21-($A$42-15)/5*(G21-I21),0)</f>
        <v>0</v>
      </c>
      <c r="I21" s="25">
        <v>160</v>
      </c>
      <c r="J21" s="26">
        <f>IF(AND($A$42&gt;20,$A$42&lt;=25),I21-($A$42-20)/5*(I21-K21),0)</f>
        <v>148.1</v>
      </c>
      <c r="K21" s="25">
        <v>125</v>
      </c>
      <c r="L21" s="26">
        <f>IF(AND($A$42&gt;25,$A$42&lt;=30),K21-($A$42-25)/5*(K21-M21),0)</f>
        <v>0</v>
      </c>
      <c r="M21" s="25">
        <v>85</v>
      </c>
      <c r="N21" s="25"/>
      <c r="O21" s="25"/>
    </row>
    <row r="22" spans="1:15">
      <c r="A22" s="9"/>
      <c r="B22" s="25">
        <v>1.1</v>
      </c>
      <c r="C22" s="25">
        <v>240</v>
      </c>
      <c r="D22" s="26">
        <f>IF(AND($A$42&gt;=5,$A$42&lt;=10),C22-($A$42-5)/5*(C22-E22),0)</f>
        <v>0</v>
      </c>
      <c r="E22" s="27">
        <v>210</v>
      </c>
      <c r="F22" s="26">
        <f>IF(AND($A$42&gt;10,$A$42&lt;=15),E22-($A$42-10)/5*(E22-G22),0)</f>
        <v>0</v>
      </c>
      <c r="G22" s="27">
        <v>170</v>
      </c>
      <c r="H22" s="26">
        <f>IF(AND($A$42&gt;15,$A$42&lt;=20),G22-($A$42-15)/5*(G22-I22),0)</f>
        <v>0</v>
      </c>
      <c r="I22" s="25">
        <v>140</v>
      </c>
      <c r="J22" s="26">
        <f>IF(AND($A$42&gt;20,$A$42&lt;=25),I22-($A$42-20)/5*(I22-K22),0)</f>
        <v>126.4</v>
      </c>
      <c r="K22" s="25">
        <v>100</v>
      </c>
      <c r="L22" s="26">
        <f>IF(AND($A$42&gt;25,$A$42&lt;=30),K22-($A$42-25)/5*(K22-M22),0)</f>
        <v>0</v>
      </c>
      <c r="M22" s="25">
        <v>60</v>
      </c>
      <c r="N22" s="25"/>
      <c r="O22" s="25"/>
    </row>
    <row r="23" spans="1:15">
      <c r="A23" s="9"/>
      <c r="B23" s="25">
        <v>1.3</v>
      </c>
      <c r="C23" s="25">
        <v>220</v>
      </c>
      <c r="D23" s="26">
        <f>IF(AND($A$42&gt;=5,$A$42&lt;=10),C23-($A$42-5)/5*(C23-E23),0)</f>
        <v>0</v>
      </c>
      <c r="E23" s="27">
        <v>180</v>
      </c>
      <c r="F23" s="26">
        <f>IF(AND($A$42&gt;10,$A$42&lt;=15),E23-($A$42-10)/5*(E23-G23),0)</f>
        <v>0</v>
      </c>
      <c r="G23" s="27">
        <v>140</v>
      </c>
      <c r="H23" s="26">
        <f>IF(AND($A$42&gt;15,$A$42&lt;=20),G23-($A$42-15)/5*(G23-I23),0)</f>
        <v>0</v>
      </c>
      <c r="I23" s="25">
        <v>110</v>
      </c>
      <c r="J23" s="26">
        <f>IF(AND($A$42&gt;20,$A$42&lt;=25),I23-($A$42-20)/5*(I23-K23),0)</f>
        <v>96.4</v>
      </c>
      <c r="K23" s="25">
        <v>70</v>
      </c>
      <c r="L23" s="26">
        <f>IF(AND($A$42&gt;25,$A$42&lt;=30),K23-($A$42-25)/5*(K23-M23),0)</f>
        <v>0</v>
      </c>
      <c r="M23" s="25">
        <v>40</v>
      </c>
      <c r="N23" s="25"/>
      <c r="O23" s="25"/>
    </row>
    <row r="24" hidden="1" spans="1:15">
      <c r="A24" s="25"/>
      <c r="B24" s="25"/>
      <c r="C24" s="25"/>
      <c r="D24" s="26">
        <f>IF($A$41&lt;=0.7,D20,0)</f>
        <v>0</v>
      </c>
      <c r="E24" s="27"/>
      <c r="F24" s="26">
        <f>IF($A$41&lt;=0.7,F20,0)</f>
        <v>0</v>
      </c>
      <c r="G24" s="27"/>
      <c r="H24" s="26">
        <f>IF($A$41&lt;=0.7,H20,0)</f>
        <v>0</v>
      </c>
      <c r="I24" s="25"/>
      <c r="J24" s="26">
        <f>IF($A$41&lt;=0.7,J20,0)</f>
        <v>176.4</v>
      </c>
      <c r="K24" s="25"/>
      <c r="L24" s="26">
        <f>IF($A$41&lt;=0.7,L20,0)</f>
        <v>0</v>
      </c>
      <c r="M24" s="25"/>
      <c r="N24" s="25"/>
      <c r="O24" s="25"/>
    </row>
    <row r="25" hidden="1" spans="1:15">
      <c r="A25" s="25"/>
      <c r="B25" s="25"/>
      <c r="C25" s="25"/>
      <c r="D25" s="26">
        <f>IF(AND($A$41&gt;$B20,$A$41&lt;=$B21),D20-($A$41-$B20)*(D20-D21)/0.2,0)</f>
        <v>0</v>
      </c>
      <c r="E25" s="27"/>
      <c r="F25" s="26">
        <f>IF(AND($A$41&gt;$B20,$A$41&lt;=$B21),F20-($A$41-$B20)*(F20-F21)/0.2,0)</f>
        <v>0</v>
      </c>
      <c r="G25" s="27"/>
      <c r="H25" s="26">
        <f>IF(AND($A$41&gt;$B20,$A$41&lt;=$B21),H20-($A$41-$B20)*(H20-H21)/0.2,0)</f>
        <v>0</v>
      </c>
      <c r="I25" s="25"/>
      <c r="J25" s="26">
        <f>IF(AND($A$41&gt;$B20,$A$41&lt;=$B21),J20-($A$41-$B20)*(J20-J21)/0.2,0)</f>
        <v>0</v>
      </c>
      <c r="K25" s="25"/>
      <c r="L25" s="26">
        <f>IF(AND($A$41&gt;$B20,$A$41&lt;=$B21),L20-($A$41-$B20)*(L20-L21)/0.2,0)</f>
        <v>0</v>
      </c>
      <c r="M25" s="25"/>
      <c r="N25" s="25"/>
      <c r="O25" s="25"/>
    </row>
    <row r="26" hidden="1" spans="1:15">
      <c r="A26" s="25"/>
      <c r="B26" s="25"/>
      <c r="C26" s="25"/>
      <c r="D26" s="26">
        <f>IF(AND($A$41&gt;$B21,$A$41&lt;=$B22),D21-($A$41-$B21)*(D21-D22)/0.2,0)</f>
        <v>0</v>
      </c>
      <c r="E26" s="27"/>
      <c r="F26" s="26">
        <f>IF(AND($A$41&gt;$B21,$A$41&lt;=$B22),F21-($A$41-$B21)*(F21-F22)/0.2,0)</f>
        <v>0</v>
      </c>
      <c r="G26" s="27"/>
      <c r="H26" s="26">
        <f>IF(AND($A$41&gt;$B21,$A$41&lt;=$B22),H21-($A$41-$B21)*(H21-H22)/0.2,0)</f>
        <v>0</v>
      </c>
      <c r="I26" s="25"/>
      <c r="J26" s="26">
        <f>IF(AND($A$41&gt;$B21,$A$41&lt;=$B22),J21-($A$41-$B21)*(J21-J22)/0.2,0)</f>
        <v>0</v>
      </c>
      <c r="K26" s="25"/>
      <c r="L26" s="26">
        <f>IF(AND($A$41&gt;$B21,$A$41&lt;=$B22),L21-($A$41-$B21)*(L21-L22)/0.2,0)</f>
        <v>0</v>
      </c>
      <c r="M26" s="25"/>
      <c r="N26" s="25"/>
      <c r="O26" s="25"/>
    </row>
    <row r="27" hidden="1" spans="1:15">
      <c r="A27" s="25"/>
      <c r="B27" s="25"/>
      <c r="C27" s="25"/>
      <c r="D27" s="26">
        <f>IF(AND($A$41&gt;$B22,$A$41&lt;=$B23),D22-($A$41-$B22)*(D22-D23)/0.2,0)</f>
        <v>0</v>
      </c>
      <c r="E27" s="27"/>
      <c r="F27" s="26">
        <f>IF(AND($A$41&gt;$B22,$A$41&lt;=$B23),F22-($A$41-$B22)*(F22-F23)/0.2,0)</f>
        <v>0</v>
      </c>
      <c r="G27" s="27"/>
      <c r="H27" s="26">
        <f>IF(AND($A$41&gt;$B22,$A$41&lt;=$B23),H22-($A$41-$B22)*(H22-H23)/0.2,0)</f>
        <v>0</v>
      </c>
      <c r="I27" s="25"/>
      <c r="J27" s="26">
        <f>IF(AND($A$41&gt;$B22,$A$41&lt;=$B23),J22-($A$41-$B22)*(J22-J23)/0.2,0)</f>
        <v>0</v>
      </c>
      <c r="K27" s="25"/>
      <c r="L27" s="26">
        <f>IF(AND($A$41&gt;$B22,$A$41&lt;=$B23),L22-($A$41-$B22)*(L22-L23)/0.2,0)</f>
        <v>0</v>
      </c>
      <c r="M27" s="25"/>
      <c r="N27" s="25"/>
      <c r="O27" s="25"/>
    </row>
    <row r="28" hidden="1" spans="1:15">
      <c r="A28" s="25"/>
      <c r="B28" s="25"/>
      <c r="C28" s="25"/>
      <c r="D28" s="26">
        <f>IF($A$41&gt;1.3,0,0)</f>
        <v>0</v>
      </c>
      <c r="E28" s="27"/>
      <c r="F28" s="26">
        <f>IF($A$41&gt;1.3,0,0)</f>
        <v>0</v>
      </c>
      <c r="G28" s="27"/>
      <c r="H28" s="26">
        <f>IF($A$41&gt;1.3,0,0)</f>
        <v>0</v>
      </c>
      <c r="I28" s="25"/>
      <c r="J28" s="26">
        <f>IF($A$41&gt;1.3,0,0)</f>
        <v>0</v>
      </c>
      <c r="K28" s="25"/>
      <c r="L28" s="26">
        <f>IF($A$41&gt;1.3,0,0)</f>
        <v>0</v>
      </c>
      <c r="M28" s="25"/>
      <c r="N28" s="25"/>
      <c r="O28" s="25"/>
    </row>
    <row r="29" spans="1:15">
      <c r="A29" s="9">
        <v>32</v>
      </c>
      <c r="B29" s="25">
        <v>0.7</v>
      </c>
      <c r="C29" s="27">
        <v>280</v>
      </c>
      <c r="D29" s="26">
        <f>IF(AND($A$42&gt;=5,$A$42&lt;=10),C29-($A$42-5)/5*(C29-E29),0)</f>
        <v>0</v>
      </c>
      <c r="E29" s="27">
        <v>280</v>
      </c>
      <c r="F29" s="26">
        <f>IF(AND($A$42&gt;10,$A$42&lt;=15),E29-($A$42-10)/5*(E29-G29),0)</f>
        <v>0</v>
      </c>
      <c r="G29" s="27">
        <v>260</v>
      </c>
      <c r="H29" s="26">
        <f>IF(AND($A$42&gt;15,$A$42&lt;=20),G29-($A$42-15)/5*(G29-I29),0)</f>
        <v>0</v>
      </c>
      <c r="I29" s="25">
        <v>230</v>
      </c>
      <c r="J29" s="26">
        <f>IF(AND($A$42&gt;20,$A$42&lt;=25),I29-($A$42-20)/5*(I29-K29),0)</f>
        <v>213</v>
      </c>
      <c r="K29" s="25">
        <v>180</v>
      </c>
      <c r="L29" s="26">
        <f>IF(AND($A$42&gt;25,$A$42&lt;=30),K29-($A$42-25)/5*(K29-M29),0)</f>
        <v>0</v>
      </c>
      <c r="M29" s="25">
        <v>150</v>
      </c>
      <c r="N29" s="26">
        <f>IF(AND($A$42&gt;30,$A$42&lt;=35),M29-($A$42-30)/5*(M29-O29),0)</f>
        <v>0</v>
      </c>
      <c r="O29" s="25">
        <v>120</v>
      </c>
    </row>
    <row r="30" spans="1:15">
      <c r="A30" s="9"/>
      <c r="B30" s="25">
        <v>0.9</v>
      </c>
      <c r="C30" s="27">
        <v>260</v>
      </c>
      <c r="D30" s="26">
        <f>IF(AND($A$42&gt;=5,$A$42&lt;=10),C30-($A$42-5)/5*(C30-E30),0)</f>
        <v>0</v>
      </c>
      <c r="E30" s="27">
        <v>260</v>
      </c>
      <c r="F30" s="26">
        <f>IF(AND($A$42&gt;10,$A$42&lt;=15),E30-($A$42-10)/5*(E30-G30),0)</f>
        <v>0</v>
      </c>
      <c r="G30" s="27">
        <v>240</v>
      </c>
      <c r="H30" s="26">
        <f>IF(AND($A$42&gt;15,$A$42&lt;=20),G30-($A$42-15)/5*(G30-I30),0)</f>
        <v>0</v>
      </c>
      <c r="I30" s="25">
        <v>200</v>
      </c>
      <c r="J30" s="26">
        <f>IF(AND($A$42&gt;20,$A$42&lt;=25),I30-($A$42-20)/5*(I30-K30),0)</f>
        <v>183</v>
      </c>
      <c r="K30" s="25">
        <v>150</v>
      </c>
      <c r="L30" s="26">
        <f>IF(AND($A$42&gt;25,$A$42&lt;=30),K30-($A$42-25)/5*(K30-M30),0)</f>
        <v>0</v>
      </c>
      <c r="M30" s="25">
        <v>125</v>
      </c>
      <c r="N30" s="26">
        <f>IF(AND($A$42&gt;30,$A$42&lt;=35),M30-($A$42-30)/5*(M30-O30),0)</f>
        <v>0</v>
      </c>
      <c r="O30" s="25">
        <v>100</v>
      </c>
    </row>
    <row r="31" spans="1:15">
      <c r="A31" s="9"/>
      <c r="B31" s="25">
        <v>1.1</v>
      </c>
      <c r="C31" s="27">
        <v>240</v>
      </c>
      <c r="D31" s="26">
        <f>IF(AND($A$42&gt;=5,$A$42&lt;=10),C31-($A$42-5)/5*(C31-E31),0)</f>
        <v>0</v>
      </c>
      <c r="E31" s="27">
        <v>240</v>
      </c>
      <c r="F31" s="26">
        <f>IF(AND($A$42&gt;10,$A$42&lt;=15),E31-($A$42-10)/5*(E31-G31),0)</f>
        <v>0</v>
      </c>
      <c r="G31" s="27">
        <v>210</v>
      </c>
      <c r="H31" s="26">
        <f>IF(AND($A$42&gt;15,$A$42&lt;=20),G31-($A$42-15)/5*(G31-I31),0)</f>
        <v>0</v>
      </c>
      <c r="I31" s="25">
        <v>170</v>
      </c>
      <c r="J31" s="26">
        <f>IF(AND($A$42&gt;20,$A$42&lt;=25),I31-($A$42-20)/5*(I31-K31),0)</f>
        <v>156.4</v>
      </c>
      <c r="K31" s="25">
        <v>130</v>
      </c>
      <c r="L31" s="26">
        <f>IF(AND($A$42&gt;25,$A$42&lt;=30),K31-($A$42-25)/5*(K31-M31),0)</f>
        <v>0</v>
      </c>
      <c r="M31" s="25">
        <v>100</v>
      </c>
      <c r="N31" s="26">
        <f>IF(AND($A$42&gt;30,$A$42&lt;=35),M31-($A$42-30)/5*(M31-O31),0)</f>
        <v>0</v>
      </c>
      <c r="O31" s="25">
        <v>60</v>
      </c>
    </row>
    <row r="32" spans="1:15">
      <c r="A32" s="9"/>
      <c r="B32" s="25">
        <v>1.3</v>
      </c>
      <c r="C32" s="27">
        <v>220</v>
      </c>
      <c r="D32" s="26">
        <f>IF(AND($A$42&gt;=5,$A$42&lt;=10),C32-($A$42-5)/5*(C32-E32),0)</f>
        <v>0</v>
      </c>
      <c r="E32" s="27">
        <v>220</v>
      </c>
      <c r="F32" s="26">
        <f>IF(AND($A$42&gt;10,$A$42&lt;=15),E32-($A$42-10)/5*(E32-G32),0)</f>
        <v>0</v>
      </c>
      <c r="G32" s="27">
        <v>180</v>
      </c>
      <c r="H32" s="26">
        <f>IF(AND($A$42&gt;15,$A$42&lt;=20),G32-($A$42-15)/5*(G32-I32),0)</f>
        <v>0</v>
      </c>
      <c r="I32" s="25">
        <v>140</v>
      </c>
      <c r="J32" s="26">
        <f>IF(AND($A$42&gt;20,$A$42&lt;=25),I32-($A$42-20)/5*(I32-K32),0)</f>
        <v>126.4</v>
      </c>
      <c r="K32" s="25">
        <v>100</v>
      </c>
      <c r="L32" s="26">
        <f>IF(AND($A$42&gt;25,$A$42&lt;=30),K32-($A$42-25)/5*(K32-M32),0)</f>
        <v>0</v>
      </c>
      <c r="M32" s="25">
        <v>70</v>
      </c>
      <c r="N32" s="26">
        <f>IF(AND($A$42&gt;30,$A$42&lt;=35),M32-($A$42-30)/5*(M32-O32),0)</f>
        <v>0</v>
      </c>
      <c r="O32" s="25">
        <v>40</v>
      </c>
    </row>
    <row r="33" hidden="1" spans="1:14">
      <c r="D33" s="19">
        <f>IF($A$41&lt;=0.7,D29,0)</f>
        <v>0</v>
      </c>
      <c r="F33" s="19">
        <f>IF($A$41&lt;=0.7,F29,0)</f>
        <v>0</v>
      </c>
      <c r="H33" s="19">
        <f>IF($A$41&lt;=0.7,H29,0)</f>
        <v>0</v>
      </c>
      <c r="J33" s="19">
        <f>IF($A$41&lt;=0.7,J29,0)</f>
        <v>213</v>
      </c>
      <c r="L33" s="19">
        <f>IF($A$41&lt;=0.7,L29,0)</f>
        <v>0</v>
      </c>
      <c r="N33" s="19">
        <f>IF(AND($A$41&lt;=0.7,$B$40=32),N29,0)</f>
        <v>0</v>
      </c>
    </row>
    <row r="34" hidden="1" spans="1:14">
      <c r="D34" s="19">
        <f>IF(AND($A$41&gt;$B29,$A$41&lt;=$B30),D29-($A$41-$B29)*(D29-D30)/0.2,0)</f>
        <v>0</v>
      </c>
      <c r="F34" s="19">
        <f>IF(AND($A$41&gt;$B29,$A$41&lt;=$B30),F29-($A$41-$B29)*(F29-F30)/0.2,0)</f>
        <v>0</v>
      </c>
      <c r="H34" s="19">
        <f>IF(AND($A$41&gt;$B29,$A$41&lt;=$B30),H29-($A$41-$B29)*(H29-H30)/0.2,0)</f>
        <v>0</v>
      </c>
      <c r="J34" s="19">
        <f>IF(AND($A$41&gt;$B29,$A$41&lt;=$B30),J29-($A$41-$B29)*(J29-J30)/0.2,0)</f>
        <v>0</v>
      </c>
      <c r="L34" s="19">
        <f>IF(AND($A$41&gt;$B29,$A$41&lt;=$B30),L29-($A$41-$B29)*(L29-L30)/0.2,0)</f>
        <v>0</v>
      </c>
      <c r="N34" s="19">
        <f>IF(AND($A$41&gt;$B29,$A$41&lt;=$B30,$A$40=32),N29-($A$41-$B29)*(N29-N30)/0.2,0)</f>
        <v>0</v>
      </c>
    </row>
    <row r="35" hidden="1" spans="1:14">
      <c r="D35" s="19">
        <f>IF(AND($A$41&gt;$B30,$A$41&lt;=$B31),D30-($A$41-$B30)*(D30-D31)/0.2,0)</f>
        <v>0</v>
      </c>
      <c r="F35" s="19">
        <f>IF(AND($A$41&gt;$B30,$A$41&lt;=$B31),F30-($A$41-$B30)*(F30-F31)/0.2,0)</f>
        <v>0</v>
      </c>
      <c r="H35" s="19">
        <f>IF(AND($A$41&gt;$B30,$A$41&lt;=$B31),H30-($A$41-$B30)*(H30-H31)/0.2,0)</f>
        <v>0</v>
      </c>
      <c r="J35" s="19">
        <f>IF(AND($A$41&gt;$B30,$A$41&lt;=$B31),J30-($A$41-$B30)*(J30-J31)/0.2,0)</f>
        <v>0</v>
      </c>
      <c r="L35" s="19">
        <f>IF(AND($A$41&gt;$B30,$A$41&lt;=$B31),L30-($A$41-$B30)*(L30-L31)/0.2,0)</f>
        <v>0</v>
      </c>
      <c r="N35" s="19">
        <f>IF(AND($A$41&gt;$B30,$A$41&lt;=$B31,$A$40=32),N30-($A$41-$B30)*(N30-N31)/0.2,0)</f>
        <v>0</v>
      </c>
    </row>
    <row r="36" hidden="1" spans="1:14">
      <c r="D36" s="19">
        <f>IF(AND($A$41&gt;$B31,$A$41&lt;=$B32),D31-($A$41-$B31)*(D31-D32)/0.2,0)</f>
        <v>0</v>
      </c>
      <c r="F36" s="19">
        <f>IF(AND($A$41&gt;$B31,$A$41&lt;=$B32),F31-($A$41-$B31)*(F31-F32)/0.2,0)</f>
        <v>0</v>
      </c>
      <c r="H36" s="19">
        <f>IF(AND($A$41&gt;$B31,$A$41&lt;=$B32),H31-($A$41-$B31)*(H31-H32)/0.2,0)</f>
        <v>0</v>
      </c>
      <c r="J36" s="19">
        <f>IF(AND($A$41&gt;$B31,$A$41&lt;=$B32),J31-($A$41-$B31)*(J31-J32)/0.2,0)</f>
        <v>0</v>
      </c>
      <c r="L36" s="19">
        <f>IF(AND($A$41&gt;$B31,$A$41&lt;=$B32),L31-($A$41-$B31)*(L31-L32)/0.2,0)</f>
        <v>0</v>
      </c>
      <c r="N36" s="19">
        <f>IF(AND($A$41&gt;$B31,$A$41&lt;=$B32,$A$40=32),N31-($A$41-$B31)*(N31-N32)/0.2,0)</f>
        <v>0</v>
      </c>
    </row>
    <row r="37" hidden="1" spans="1:14">
      <c r="D37" s="19">
        <f>IF($A$41&gt;1.3,0,0)</f>
        <v>0</v>
      </c>
      <c r="F37" s="19">
        <f>IF($A$41&gt;1.3,0,0)</f>
        <v>0</v>
      </c>
      <c r="H37" s="19">
        <f>IF($A$41&gt;1.3,0,0)</f>
        <v>0</v>
      </c>
      <c r="J37" s="19">
        <f>IF($A$41&gt;1.3,0,0)</f>
        <v>0</v>
      </c>
      <c r="L37" s="19">
        <f>IF($A$41&gt;1.3,0,0)</f>
        <v>0</v>
      </c>
      <c r="N37" s="19">
        <f>IF(AND($A$41&gt;$B32,$A$41&lt;=$B33,$A$40=32),N32-($A$41-$B32)*(N32-N33)/0.2,0)</f>
        <v>0</v>
      </c>
    </row>
    <row r="38" hidden="1" spans="1:14">
      <c r="N38" s="19"/>
    </row>
    <row r="39" hidden="1" spans="1:14">
      <c r="N39" s="19"/>
    </row>
    <row r="40" hidden="1" spans="1:14">
      <c r="A40" s="18">
        <f>IF(C4&gt;32,32,C4)</f>
        <v>32</v>
      </c>
      <c r="B40" s="28" t="s">
        <v>80</v>
      </c>
      <c r="C40" s="18">
        <f>IF(OR(A40&lt;24,A42&gt;30),0,MAX(D15:O19))</f>
        <v>136.4</v>
      </c>
    </row>
    <row r="41" hidden="1" spans="1:14">
      <c r="A41" s="18">
        <f>C5</f>
        <v>0.674</v>
      </c>
      <c r="B41" s="28" t="s">
        <v>81</v>
      </c>
      <c r="C41" s="18">
        <f>IF(OR(A40&lt;24,A42&gt;30),0,MAX(D24:M28))</f>
        <v>176.4</v>
      </c>
    </row>
    <row r="42" hidden="1" spans="1:14">
      <c r="A42" s="18">
        <f>IF(C6&lt;5,5,C6)</f>
        <v>21.7</v>
      </c>
      <c r="B42" s="28" t="s">
        <v>82</v>
      </c>
      <c r="C42" s="18">
        <f>IF(OR(A40&lt;24,A42&gt;35),0,MAX(D33:O37))</f>
        <v>213</v>
      </c>
    </row>
    <row r="43" ht="15.5" spans="1:14">
      <c r="A43" s="21"/>
      <c r="C43" s="21"/>
    </row>
    <row r="45" spans="1:14">
      <c r="E45" s="18"/>
      <c r="F45" s="18"/>
      <c r="G45" s="18"/>
      <c r="H45" s="18"/>
    </row>
  </sheetData>
  <sheetProtection password="CC3D" sheet="1" objects="1" scenarios="1"/>
  <mergeCells count="9">
    <mergeCell ref="A1:I1"/>
    <mergeCell ref="A2:B2"/>
    <mergeCell ref="E2:G2"/>
    <mergeCell ref="A4:B4"/>
    <mergeCell ref="A5:B5"/>
    <mergeCell ref="A6:B6"/>
    <mergeCell ref="A11:A14"/>
    <mergeCell ref="A20:A23"/>
    <mergeCell ref="A29:A32"/>
  </mergeCells>
  <pageMargins left="0.747916666666667" right="0.747916666666667" top="0.984027777777778" bottom="0.984027777777778" header="0.511805555555556" footer="0.511805555555556"/>
  <pageSetup paperSize="9" orientation="landscape" horizontalDpi="180" verticalDpi="180"/>
  <headerFooter alignWithMargins="0" scaleWithDoc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10" sqref="B10"/>
    </sheetView>
  </sheetViews>
  <sheetFormatPr defaultColWidth="8.75" defaultRowHeight="15" outlineLevelCol="5"/>
  <cols>
    <col min="1" max="1" width="8.75" style="1" customWidth="1"/>
    <col min="2" max="16384" width="8.75" style="1"/>
  </cols>
  <sheetData>
    <row r="1" ht="28.9" customHeight="1" spans="1:6">
      <c r="A1" s="2" t="s">
        <v>83</v>
      </c>
      <c r="B1" s="2"/>
      <c r="C1" s="2"/>
      <c r="D1" s="2"/>
      <c r="E1" s="2"/>
    </row>
    <row r="2" spans="1:6">
      <c r="A2" s="11" t="s">
        <v>1</v>
      </c>
      <c r="B2" s="11"/>
      <c r="C2" s="11"/>
      <c r="D2" s="12"/>
      <c r="E2" s="12"/>
    </row>
    <row r="4" ht="25" spans="1:6">
      <c r="A4" s="2" t="s">
        <v>67</v>
      </c>
      <c r="B4" s="13"/>
      <c r="C4" s="14">
        <v>0.674</v>
      </c>
      <c r="D4" s="2" t="s">
        <v>68</v>
      </c>
      <c r="E4" s="15">
        <f>MAX(B15:E17)</f>
        <v>700</v>
      </c>
      <c r="F4" s="2" t="s">
        <v>19</v>
      </c>
    </row>
    <row r="5" ht="21" spans="1:6">
      <c r="A5" s="2" t="s">
        <v>84</v>
      </c>
      <c r="B5" s="2"/>
      <c r="C5" s="16">
        <v>21.7</v>
      </c>
      <c r="D5" s="2"/>
      <c r="E5" s="15"/>
    </row>
    <row r="6" ht="21" spans="1:6">
      <c r="A6" s="2" t="s">
        <v>85</v>
      </c>
      <c r="B6" s="13"/>
      <c r="C6" s="17">
        <v>37.4</v>
      </c>
      <c r="D6" s="2"/>
      <c r="E6" s="2"/>
    </row>
    <row r="8" ht="15.5" spans="1:6">
      <c r="B8" s="8" t="s">
        <v>71</v>
      </c>
    </row>
    <row r="9" ht="15.5" spans="1:6">
      <c r="A9" s="10" t="s">
        <v>86</v>
      </c>
      <c r="B9" s="9" t="s">
        <v>87</v>
      </c>
      <c r="C9" s="9" t="s">
        <v>88</v>
      </c>
      <c r="D9" s="9" t="s">
        <v>89</v>
      </c>
      <c r="E9" s="9" t="s">
        <v>90</v>
      </c>
    </row>
    <row r="10" spans="1:6">
      <c r="A10" s="9" t="s">
        <v>91</v>
      </c>
      <c r="B10" s="9">
        <v>700</v>
      </c>
      <c r="C10" s="9">
        <v>600</v>
      </c>
      <c r="D10" s="9">
        <v>500</v>
      </c>
      <c r="E10" s="9">
        <v>400</v>
      </c>
    </row>
    <row r="11" spans="1:6">
      <c r="A11" s="9" t="s">
        <v>92</v>
      </c>
      <c r="B11" s="9">
        <v>500</v>
      </c>
      <c r="C11" s="9">
        <v>400</v>
      </c>
      <c r="D11" s="9">
        <v>300</v>
      </c>
      <c r="E11" s="9">
        <v>250</v>
      </c>
    </row>
    <row r="12" spans="1:6">
      <c r="A12" s="9" t="s">
        <v>93</v>
      </c>
      <c r="B12" s="9">
        <v>400</v>
      </c>
      <c r="C12" s="9">
        <v>300</v>
      </c>
      <c r="D12" s="9">
        <v>250</v>
      </c>
      <c r="E12" s="9">
        <v>200</v>
      </c>
    </row>
    <row r="13" spans="1:6">
      <c r="A13" s="9"/>
      <c r="B13" s="9"/>
      <c r="C13" s="9"/>
      <c r="D13" s="9"/>
      <c r="E13" s="9"/>
    </row>
    <row r="14" hidden="1"/>
    <row r="15" hidden="1" spans="1:6">
      <c r="B15" s="9">
        <f>IF(AND($B$20&lt;0.7,$B$21&lt;0.6),B10,0)</f>
        <v>700</v>
      </c>
      <c r="C15" s="9">
        <f>IF(AND($B$20&gt;=0.7,$B$20&lt;0.8,$B$21&lt;0.6),C10,0)</f>
        <v>0</v>
      </c>
      <c r="D15" s="9">
        <f>IF(AND($B$20&gt;=0.8,$B$20&lt;=0.9,$B$21&lt;0.6),D10,0)</f>
        <v>0</v>
      </c>
      <c r="E15" s="9">
        <f>IF(AND($B$20&gt;0.9,$B$21&lt;0.6),E10,0)</f>
        <v>0</v>
      </c>
    </row>
    <row r="16" hidden="1" spans="1:6">
      <c r="B16" s="9">
        <f>IF(AND($B$20&lt;0.7,$B$21&gt;=0.6,$B$21&lt;=0.8),B11,0)</f>
        <v>0</v>
      </c>
      <c r="C16" s="9">
        <f>IF(AND($B$20&gt;=0.7,$B$20&lt;0.8,$B$21&gt;=0.6,$B$21&lt;=0.8),C11,0)</f>
        <v>0</v>
      </c>
      <c r="D16" s="9">
        <f>IF(AND($B$20&gt;=0.8,$B$20&lt;=0.9,$B$21&gt;=0.6,$B$21&lt;=0.8),D11,0)</f>
        <v>0</v>
      </c>
      <c r="E16" s="9">
        <f>IF(AND($B$20&gt;0.9,$B$21&gt;=0.6,$B$21&lt;=0.8),E11,0)</f>
        <v>0</v>
      </c>
    </row>
    <row r="17" hidden="1" spans="1:5">
      <c r="B17" s="9">
        <f>IF(AND($B$20&lt;0.7,$B$21&gt;0.8),B12,0)</f>
        <v>0</v>
      </c>
      <c r="C17" s="9">
        <f>IF(AND($B$20&gt;=0.7,$B$20&lt;0.8,$B$21&gt;0.8),C12,0)</f>
        <v>0</v>
      </c>
      <c r="D17" s="9">
        <f>IF(AND($B$20&gt;=0.8,$B$20&lt;=0.9,$B$21&gt;0.8),D12,0)</f>
        <v>0</v>
      </c>
      <c r="E17" s="9">
        <f>IF(AND($B$20&gt;0.9,$B$21&gt;0.8),E12,0)</f>
        <v>0</v>
      </c>
    </row>
    <row r="18" hidden="1"/>
    <row r="19" hidden="1"/>
    <row r="20" ht="15.5" hidden="1" spans="1:5">
      <c r="A20" s="8" t="s">
        <v>71</v>
      </c>
      <c r="B20" s="1">
        <f>C4</f>
        <v>0.674</v>
      </c>
    </row>
    <row r="21" ht="15.5" hidden="1" spans="1:5">
      <c r="A21" s="8" t="s">
        <v>86</v>
      </c>
      <c r="B21" s="1">
        <f>C5/C6</f>
        <v>0.580213903743315</v>
      </c>
    </row>
  </sheetData>
  <sheetProtection password="CC3D" sheet="1" objects="1" scenarios="1"/>
  <mergeCells count="6">
    <mergeCell ref="A1:E1"/>
    <mergeCell ref="A2:C2"/>
    <mergeCell ref="D2:E2"/>
    <mergeCell ref="A4:B4"/>
    <mergeCell ref="A5:B5"/>
    <mergeCell ref="A6:B6"/>
  </mergeCells>
  <pageMargins left="0.747916666666667" right="0.747916666666667" top="0.984027777777778" bottom="0.984027777777778" header="0.511805555555556" footer="0.511805555555556"/>
  <pageSetup paperSize="9" orientation="landscape" horizontalDpi="180" verticalDpi="180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11" sqref="C11"/>
    </sheetView>
  </sheetViews>
  <sheetFormatPr defaultColWidth="8.75" defaultRowHeight="15" outlineLevelCol="7"/>
  <cols>
    <col min="1" max="16384" width="8.75" style="1"/>
  </cols>
  <sheetData>
    <row r="1" ht="30" customHeight="1" spans="1:8">
      <c r="A1" s="2" t="s">
        <v>94</v>
      </c>
      <c r="B1" s="2"/>
      <c r="C1" s="2"/>
      <c r="D1" s="2"/>
      <c r="E1" s="2"/>
    </row>
    <row r="2" spans="1:8">
      <c r="A2" s="3" t="s">
        <v>1</v>
      </c>
      <c r="B2" s="3"/>
      <c r="C2" s="3"/>
      <c r="D2" s="4" t="s">
        <v>65</v>
      </c>
      <c r="E2" s="4"/>
      <c r="F2" s="4" t="s">
        <v>77</v>
      </c>
    </row>
    <row r="4" ht="25" spans="1:8">
      <c r="A4" s="5" t="s">
        <v>95</v>
      </c>
      <c r="B4" s="5"/>
      <c r="C4" s="6">
        <v>53.3</v>
      </c>
      <c r="D4" s="2" t="s">
        <v>68</v>
      </c>
      <c r="E4" s="7">
        <f>MAX(C8:H8)</f>
        <v>63.4</v>
      </c>
      <c r="F4" s="8" t="s">
        <v>19</v>
      </c>
    </row>
    <row r="6" ht="15.5" spans="1:8">
      <c r="A6" s="10" t="s">
        <v>8</v>
      </c>
      <c r="B6" s="9">
        <v>36</v>
      </c>
      <c r="C6" s="9">
        <v>40</v>
      </c>
      <c r="D6" s="9">
        <v>45</v>
      </c>
      <c r="E6" s="9">
        <v>50</v>
      </c>
      <c r="F6" s="9">
        <v>55</v>
      </c>
      <c r="G6" s="9">
        <v>65</v>
      </c>
      <c r="H6" s="9">
        <v>75</v>
      </c>
    </row>
    <row r="7" ht="19.5" spans="1:8">
      <c r="A7" s="9" t="s">
        <v>96</v>
      </c>
      <c r="B7" s="9">
        <v>100</v>
      </c>
      <c r="C7" s="9">
        <v>90</v>
      </c>
      <c r="D7" s="9">
        <v>80</v>
      </c>
      <c r="E7" s="9">
        <v>70</v>
      </c>
      <c r="F7" s="9">
        <v>60</v>
      </c>
      <c r="G7" s="9">
        <v>50</v>
      </c>
      <c r="H7" s="9">
        <v>40</v>
      </c>
    </row>
    <row r="8" hidden="1" spans="1:8">
      <c r="C8" s="1">
        <f>IF(AND($B$10&gt;=B6,$B$10&lt;C6),B7-($B$10-B6)*(B7-C7)/(C6-B6),0)</f>
        <v>0</v>
      </c>
      <c r="D8" s="1">
        <f>IF(AND($B$10&gt;=C6,$B$10&lt;D6),C7-($B$10-C6)*(C7-D7)/(D6-C6),0)</f>
        <v>0</v>
      </c>
      <c r="E8" s="1">
        <f>IF(AND($B$10&gt;=D6,$B$10&lt;E6),D7-($B$10-D6)*(D7-E7)/(E6-D6),0)</f>
        <v>0</v>
      </c>
      <c r="F8" s="1">
        <f>IF(AND($B$10&gt;=E6,$B$10&lt;F6),E7-($B$10-E6)*(E7-F7)/(F6-E6),0)</f>
        <v>63.4</v>
      </c>
      <c r="G8" s="1">
        <f>IF(AND($B$10&gt;=F6,$B$10&lt;G6),F7-($B$10-F6)*(F7-G7)/(G6-F6),0)</f>
        <v>0</v>
      </c>
      <c r="H8" s="1">
        <f>IF(AND($B$10&gt;=G6,$B$10&lt;=H6),G7-($B$10-G6)*(G7-H7)/(H6-G6),0)</f>
        <v>0</v>
      </c>
    </row>
    <row r="9" hidden="1"/>
    <row r="10" ht="15.5" hidden="1" spans="1:8">
      <c r="A10" s="8" t="s">
        <v>8</v>
      </c>
      <c r="B10" s="1">
        <f>IF(C4&lt;=36,36,C4)</f>
        <v>53.3</v>
      </c>
    </row>
  </sheetData>
  <sheetProtection password="CC3D" sheet="1" objects="1" scenarios="1"/>
  <mergeCells count="4">
    <mergeCell ref="A1:E1"/>
    <mergeCell ref="A2:C2"/>
    <mergeCell ref="D2:E2"/>
    <mergeCell ref="A4:B4"/>
  </mergeCells>
  <pageMargins left="0.747916666666667" right="0.747916666666667" top="0.984027777777778" bottom="0.984027777777778" header="0.511805555555556" footer="0.511805555555556"/>
  <pageSetup paperSize="9" orientation="landscape"/>
  <headerFooter alignWithMargins="0" scaleWithDoc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B16" sqref="B16"/>
    </sheetView>
  </sheetViews>
  <sheetFormatPr defaultColWidth="8.75" defaultRowHeight="15" outlineLevelCol="7"/>
  <cols>
    <col min="1" max="1" width="14.25" style="1" customWidth="1"/>
    <col min="2" max="16384" width="8.75" style="1"/>
  </cols>
  <sheetData>
    <row r="1" ht="30" customHeight="1" spans="1:8">
      <c r="A1" s="2" t="s">
        <v>97</v>
      </c>
      <c r="B1" s="2"/>
      <c r="C1" s="2"/>
      <c r="D1" s="2"/>
      <c r="E1" s="2"/>
    </row>
    <row r="2" spans="1:8">
      <c r="A2" s="3" t="s">
        <v>1</v>
      </c>
      <c r="B2" s="3"/>
      <c r="C2" s="3"/>
      <c r="D2" s="4" t="s">
        <v>65</v>
      </c>
      <c r="E2" s="4"/>
      <c r="F2" s="4" t="s">
        <v>66</v>
      </c>
    </row>
    <row r="4" ht="25" spans="1:8">
      <c r="A4" s="5" t="s">
        <v>98</v>
      </c>
      <c r="B4" s="5"/>
      <c r="C4" s="6">
        <v>35.22</v>
      </c>
      <c r="D4" s="2" t="s">
        <v>68</v>
      </c>
      <c r="E4" s="7">
        <f>MAX(C8:H8)</f>
        <v>581.76</v>
      </c>
      <c r="F4" s="8" t="s">
        <v>19</v>
      </c>
    </row>
    <row r="5" ht="19.5" customHeight="1"/>
    <row r="6" ht="15.5" spans="1:8">
      <c r="A6" s="9" t="s">
        <v>99</v>
      </c>
      <c r="B6" s="9">
        <v>10</v>
      </c>
      <c r="C6" s="9">
        <v>15</v>
      </c>
      <c r="D6" s="9">
        <v>20</v>
      </c>
      <c r="E6" s="9">
        <v>25</v>
      </c>
      <c r="F6" s="9">
        <v>30</v>
      </c>
      <c r="G6" s="9">
        <v>35</v>
      </c>
      <c r="H6" s="9">
        <v>40</v>
      </c>
    </row>
    <row r="7" ht="19.5" spans="1:8">
      <c r="A7" s="9" t="s">
        <v>100</v>
      </c>
      <c r="B7" s="9">
        <v>380</v>
      </c>
      <c r="C7" s="9">
        <v>430</v>
      </c>
      <c r="D7" s="9">
        <v>470</v>
      </c>
      <c r="E7" s="9">
        <v>510</v>
      </c>
      <c r="F7" s="9">
        <v>550</v>
      </c>
      <c r="G7" s="9">
        <v>580</v>
      </c>
      <c r="H7" s="9">
        <v>620</v>
      </c>
    </row>
    <row r="8" hidden="1" spans="1:8">
      <c r="C8" s="1">
        <f>IF(AND($B$10&gt;=B6,$B$10&lt;C6),B7-($B$10-B6)*(B7-C7)/(C6-B6),0)</f>
        <v>0</v>
      </c>
      <c r="D8" s="1">
        <f>IF(AND($B$10&gt;=C6,$B$10&lt;D6),C7-($B$10-C6)*(C7-D7)/(D6-C6),0)</f>
        <v>0</v>
      </c>
      <c r="E8" s="1">
        <f>IF(AND($B$10&gt;=D6,$B$10&lt;E6),D7-($B$10-D6)*(D7-E7)/(E6-D6),0)</f>
        <v>0</v>
      </c>
      <c r="F8" s="1">
        <f>IF(AND($B$10&gt;=E6,$B$10&lt;F6),E7-($B$10-E6)*(E7-F7)/(F6-E6),0)</f>
        <v>0</v>
      </c>
      <c r="G8" s="1">
        <f>IF(AND($B$10&gt;=F6,$B$10&lt;G6),F7-($B$10-F6)*(F7-G7)/(G6-F6),0)</f>
        <v>0</v>
      </c>
      <c r="H8" s="1">
        <f>IF(AND($B$10&gt;=G6,$B$10&lt;=H6),G7-($B$10-G6)*(G7-H7)/(H6-G6),0)</f>
        <v>581.76</v>
      </c>
    </row>
    <row r="9" hidden="1"/>
    <row r="10" ht="15.5" hidden="1" spans="1:8">
      <c r="A10" s="8" t="s">
        <v>8</v>
      </c>
      <c r="B10" s="1">
        <f>IF(C4&gt;=40,40,C4)</f>
        <v>35.22</v>
      </c>
    </row>
  </sheetData>
  <sheetProtection password="CC3D" sheet="1" objects="1" scenarios="1"/>
  <mergeCells count="4">
    <mergeCell ref="A1:E1"/>
    <mergeCell ref="A2:C2"/>
    <mergeCell ref="D2:E2"/>
    <mergeCell ref="A4:B4"/>
  </mergeCells>
  <pageMargins left="0.747916666666667" right="0.747916666666667" top="0.984027777777778" bottom="0.984027777777778" header="0.511805555555556" footer="0.511805555555556"/>
  <pageSetup paperSize="9" orientation="landscape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G31" sqref="G31"/>
    </sheetView>
  </sheetViews>
  <sheetFormatPr defaultColWidth="8.75" defaultRowHeight="15"/>
  <cols>
    <col min="1" max="1" width="14.25" style="1" customWidth="1"/>
    <col min="2" max="16384" width="8.75" style="1"/>
  </cols>
  <sheetData>
    <row r="1" ht="30" customHeight="1" spans="1:10">
      <c r="A1" s="2" t="s">
        <v>101</v>
      </c>
      <c r="B1" s="2"/>
      <c r="C1" s="2"/>
      <c r="D1" s="2"/>
      <c r="E1" s="2"/>
    </row>
    <row r="2" spans="1:10">
      <c r="A2" s="3" t="s">
        <v>1</v>
      </c>
      <c r="B2" s="3"/>
      <c r="C2" s="3"/>
      <c r="D2" s="4" t="s">
        <v>65</v>
      </c>
      <c r="E2" s="4"/>
      <c r="F2" s="4" t="s">
        <v>66</v>
      </c>
    </row>
    <row r="4" ht="25" spans="1:10">
      <c r="A4" s="5" t="s">
        <v>98</v>
      </c>
      <c r="B4" s="5"/>
      <c r="C4" s="6">
        <v>12.555</v>
      </c>
      <c r="D4" s="2" t="s">
        <v>68</v>
      </c>
      <c r="E4" s="7">
        <f>MAX(C8:J8)</f>
        <v>295.55</v>
      </c>
      <c r="F4" s="8" t="s">
        <v>19</v>
      </c>
    </row>
    <row r="5" ht="19.5" customHeight="1"/>
    <row r="6" ht="15.5" spans="1:10">
      <c r="A6" s="9" t="s">
        <v>99</v>
      </c>
      <c r="B6" s="9">
        <v>4</v>
      </c>
      <c r="C6" s="9">
        <v>6</v>
      </c>
      <c r="D6" s="9">
        <v>8</v>
      </c>
      <c r="E6" s="9">
        <v>10</v>
      </c>
      <c r="F6" s="9">
        <v>12</v>
      </c>
      <c r="G6" s="9">
        <v>14</v>
      </c>
      <c r="H6" s="9">
        <v>16</v>
      </c>
      <c r="I6" s="9">
        <v>18</v>
      </c>
      <c r="J6" s="9">
        <v>20</v>
      </c>
    </row>
    <row r="7" ht="19.5" spans="1:10">
      <c r="A7" s="9" t="s">
        <v>100</v>
      </c>
      <c r="B7" s="9">
        <v>190</v>
      </c>
      <c r="C7" s="9">
        <v>220</v>
      </c>
      <c r="D7" s="9">
        <v>250</v>
      </c>
      <c r="E7" s="9">
        <v>270</v>
      </c>
      <c r="F7" s="9">
        <v>290</v>
      </c>
      <c r="G7" s="9">
        <v>310</v>
      </c>
      <c r="H7" s="9">
        <v>320</v>
      </c>
      <c r="I7" s="9">
        <v>330</v>
      </c>
      <c r="J7" s="9">
        <v>340</v>
      </c>
    </row>
    <row r="8" hidden="1" spans="1:10">
      <c r="C8" s="1">
        <f>IF(AND($B$10&gt;=B6,$B$10&lt;C6),B7-($B$10-B6)*(B7-C7)/(C6-B6),0)</f>
        <v>0</v>
      </c>
      <c r="D8" s="1">
        <f>IF(AND($B$10&gt;=C6,$B$10&lt;D6),C7-($B$10-C6)*(C7-D7)/(D6-C6),0)</f>
        <v>0</v>
      </c>
      <c r="E8" s="1">
        <f>IF(AND($B$10&gt;=D6,$B$10&lt;E6),D7-($B$10-D6)*(D7-E7)/(E6-D6),0)</f>
        <v>0</v>
      </c>
      <c r="F8" s="1">
        <f>IF(AND($B$10&gt;=E6,$B$10&lt;F6),E7-($B$10-E6)*(E7-F7)/(F6-E6),0)</f>
        <v>0</v>
      </c>
      <c r="G8" s="1">
        <f>IF(AND($B$10&gt;=F6,$B$10&lt;G6),F7-($B$10-F6)*(F7-G7)/(G6-F6),0)</f>
        <v>295.55</v>
      </c>
      <c r="H8" s="1">
        <f>IF(AND($B$10&gt;=G6,$B$10&lt;=H6),G7-($B$10-G6)*(G7-H7)/(H6-G6),0)</f>
        <v>0</v>
      </c>
      <c r="I8" s="1">
        <f>IF(AND($B$10&gt;=H6,$B$10&lt;=I6),H7-($B$10-H6)*(H7-I7)/(I6-H6),0)</f>
        <v>0</v>
      </c>
      <c r="J8" s="1">
        <f>IF(AND($B$10&gt;=I6,$B$10&lt;=J6),I7-($B$10-I6)*(I7-J7)/(J6-I6),0)</f>
        <v>0</v>
      </c>
    </row>
    <row r="9" hidden="1"/>
    <row r="10" ht="15.5" hidden="1" spans="1:10">
      <c r="A10" s="8" t="s">
        <v>8</v>
      </c>
      <c r="B10" s="1">
        <f>IF(C4&gt;=20,20,C4)</f>
        <v>12.555</v>
      </c>
    </row>
  </sheetData>
  <sheetProtection password="CC3D" sheet="1" objects="1" scenarios="1"/>
  <mergeCells count="4">
    <mergeCell ref="A1:E1"/>
    <mergeCell ref="A2:C2"/>
    <mergeCell ref="D2:E2"/>
    <mergeCell ref="A4:B4"/>
  </mergeCells>
  <pageMargins left="0.747916666666667" right="0.747916666666667" top="0.984027777777778" bottom="0.984027777777778" header="0.511805555555556" footer="0.511805555555556"/>
  <pageSetup paperSize="9" orientation="landscape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/>
  <rangeList sheetStid="12" master="" otherUserPermission="visible"/>
  <rangeList sheetStid="10" master="" otherUserPermission="visible"/>
  <rangeList sheetStid="4" master="" otherUserPermission="visible"/>
  <rangeList sheetStid="2" master="" otherUserPermission="visible"/>
  <rangeList sheetStid="1" master="" otherUserPermission="visible"/>
  <rangeList sheetStid="11" master="" otherUserPermission="visible"/>
  <rangeList sheetStid="5" master="" otherUserPermission="visible"/>
  <rangeList sheetStid="7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ll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标贯修正</vt:lpstr>
      <vt:lpstr>重型动探</vt:lpstr>
      <vt:lpstr>静力触探</vt:lpstr>
      <vt:lpstr>Q4黏性土</vt:lpstr>
      <vt:lpstr>粉土</vt:lpstr>
      <vt:lpstr>新黄土</vt:lpstr>
      <vt:lpstr>老黄土</vt:lpstr>
      <vt:lpstr>软土</vt:lpstr>
      <vt:lpstr>Q3以前黏性土</vt:lpstr>
      <vt:lpstr>残积黏性土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刘广英</dc:creator>
  <cp:lastModifiedBy>神舟</cp:lastModifiedBy>
  <dcterms:created xsi:type="dcterms:W3CDTF">2002-09-03T08:56:00Z</dcterms:created>
  <cp:lastPrinted>2002-12-19T05:28:00Z</cp:lastPrinted>
  <dcterms:modified xsi:type="dcterms:W3CDTF">2026-07-02T08:37:04Z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681ECBD7271D451F97DC0058F1572D00_13</vt:lpwstr>
  </property>
  <property fmtid="{D5CDD505-2E9C-101B-9397-08002B2CF9AE}" pid="4" name="CalculationRule">
    <vt:i4>0</vt:i4>
  </property>
</Properties>
</file>